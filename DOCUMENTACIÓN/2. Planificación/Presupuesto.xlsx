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38520127\.copilot\repos\copilot-worktrees\Gesti-n-de-proyectos\juancardozo05-improved-umbrella\DOCUMENTACIÓN\"/>
    </mc:Choice>
  </mc:AlternateContent>
  <xr:revisionPtr revIDLastSave="0" documentId="13_ncr:1_{4E69169A-F9BD-4143-B897-B098F50193F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Presupuesto del proyecto" sheetId="1" r:id="rId1"/>
    <sheet name="listas desplegables" sheetId="2" r:id="rId2"/>
    <sheet name="Detalle de esfuerzo" sheetId="3" r:id="rId3"/>
    <sheet name="Registro real" sheetId="4" r:id="rId4"/>
    <sheet name="Criterios del presupuesto" sheetId="5" r:id="rId5"/>
  </sheets>
  <externalReferences>
    <externalReference r:id="rId6"/>
    <externalReference r:id="rId7"/>
  </externalReferences>
  <definedNames>
    <definedName name="_xlnm._FilterDatabase" localSheetId="4" hidden="1">'Criterios del presupuesto'!$A$1:$B$16</definedName>
    <definedName name="_xlnm._FilterDatabase" localSheetId="2" hidden="1">'Detalle de esfuerzo'!$A$1:$G$26</definedName>
    <definedName name="_xlnm._FilterDatabase" localSheetId="3" hidden="1">'Registro real'!$A$1:$E$19</definedName>
    <definedName name="_xlnm.Print_Area" localSheetId="4">'Criterios del presupuesto'!$A$1:$B$16</definedName>
    <definedName name="_xlnm.Print_Area" localSheetId="2">'Detalle de esfuerzo'!$A$1:$G$26</definedName>
    <definedName name="_xlnm.Print_Area" localSheetId="0">'Presupuesto del proyecto'!$B$1:$S$30</definedName>
    <definedName name="_xlnm.Print_Area" localSheetId="3">'Registro real'!$A$1:$E$19</definedName>
    <definedName name="Priority">#REF!</definedName>
    <definedName name="Status">'listas desplegables'!$D$5:$D$7</definedName>
    <definedName name="_xlnm.Print_Titles" localSheetId="4">'Criterios del presupuesto'!$1:$1</definedName>
    <definedName name="_xlnm.Print_Titles" localSheetId="2">'Detalle de esfuerzo'!$1:$1</definedName>
    <definedName name="_xlnm.Print_Titles" localSheetId="3">'Registro real'!$1:$1</definedName>
    <definedName name="Type" localSheetId="1">'[1]Risk Assessment &amp; Control'!#REF!</definedName>
    <definedName name="Type">'[2]Maintenance Work Order'!#REF!</definedName>
    <definedName name="YesNo">'listas desplegables'!$B$5:$B$6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P28" i="1"/>
  <c r="O28" i="1"/>
  <c r="N28" i="1"/>
  <c r="R27" i="1"/>
  <c r="S27" i="1" s="1"/>
  <c r="M27" i="1"/>
  <c r="J27" i="1"/>
  <c r="F27" i="1"/>
  <c r="R26" i="1"/>
  <c r="S26" i="1" s="1"/>
  <c r="M26" i="1"/>
  <c r="J26" i="1"/>
  <c r="F26" i="1"/>
  <c r="R25" i="1"/>
  <c r="S25" i="1" s="1"/>
  <c r="M25" i="1"/>
  <c r="J25" i="1"/>
  <c r="F25" i="1"/>
  <c r="R24" i="1"/>
  <c r="S24" i="1" s="1"/>
  <c r="M24" i="1"/>
  <c r="J24" i="1"/>
  <c r="F24" i="1"/>
  <c r="R23" i="1"/>
  <c r="S23" i="1" s="1"/>
  <c r="M23" i="1"/>
  <c r="J23" i="1"/>
  <c r="F23" i="1"/>
  <c r="R22" i="1"/>
  <c r="S22" i="1" s="1"/>
  <c r="M22" i="1"/>
  <c r="J22" i="1"/>
  <c r="Q22" i="1" s="1"/>
  <c r="F22" i="1"/>
  <c r="R21" i="1"/>
  <c r="S21" i="1" s="1"/>
  <c r="M21" i="1"/>
  <c r="H21" i="1"/>
  <c r="J21" i="1" s="1"/>
  <c r="Q21" i="1" s="1"/>
  <c r="F21" i="1"/>
  <c r="R20" i="1"/>
  <c r="S20" i="1" s="1"/>
  <c r="M20" i="1"/>
  <c r="H20" i="1"/>
  <c r="J20" i="1" s="1"/>
  <c r="Q20" i="1" s="1"/>
  <c r="F20" i="1"/>
  <c r="R19" i="1"/>
  <c r="R28" i="1" s="1"/>
  <c r="S28" i="1" s="1"/>
  <c r="M19" i="1"/>
  <c r="M28" i="1" s="1"/>
  <c r="H19" i="1"/>
  <c r="J19" i="1" s="1"/>
  <c r="F19" i="1"/>
  <c r="P14" i="1"/>
  <c r="O14" i="1"/>
  <c r="N14" i="1"/>
  <c r="R13" i="1"/>
  <c r="S13" i="1" s="1"/>
  <c r="M13" i="1"/>
  <c r="H13" i="1"/>
  <c r="J13" i="1" s="1"/>
  <c r="F13" i="1"/>
  <c r="R12" i="1"/>
  <c r="S12" i="1" s="1"/>
  <c r="M12" i="1"/>
  <c r="H12" i="1"/>
  <c r="J12" i="1" s="1"/>
  <c r="F12" i="1"/>
  <c r="R11" i="1"/>
  <c r="S11" i="1" s="1"/>
  <c r="M11" i="1"/>
  <c r="H11" i="1"/>
  <c r="J11" i="1" s="1"/>
  <c r="F11" i="1"/>
  <c r="R10" i="1"/>
  <c r="S10" i="1" s="1"/>
  <c r="M10" i="1"/>
  <c r="H10" i="1"/>
  <c r="J10" i="1" s="1"/>
  <c r="F10" i="1"/>
  <c r="R9" i="1"/>
  <c r="S9" i="1" s="1"/>
  <c r="M9" i="1"/>
  <c r="H9" i="1"/>
  <c r="J9" i="1" s="1"/>
  <c r="F9" i="1"/>
  <c r="R8" i="1"/>
  <c r="S8" i="1" s="1"/>
  <c r="M8" i="1"/>
  <c r="H8" i="1"/>
  <c r="J8" i="1" s="1"/>
  <c r="F8" i="1"/>
  <c r="R7" i="1"/>
  <c r="S7" i="1" s="1"/>
  <c r="M7" i="1"/>
  <c r="H7" i="1"/>
  <c r="J7" i="1" s="1"/>
  <c r="F7" i="1"/>
  <c r="R6" i="1"/>
  <c r="S6" i="1" s="1"/>
  <c r="M6" i="1"/>
  <c r="H6" i="1"/>
  <c r="J6" i="1" s="1"/>
  <c r="F6" i="1"/>
  <c r="R5" i="1"/>
  <c r="M5" i="1"/>
  <c r="H5" i="1"/>
  <c r="F5" i="1"/>
  <c r="Q24" i="1" l="1"/>
  <c r="Q26" i="1"/>
  <c r="Q27" i="1"/>
  <c r="P30" i="1"/>
  <c r="Q10" i="1"/>
  <c r="Q11" i="1"/>
  <c r="Q12" i="1"/>
  <c r="Q13" i="1"/>
  <c r="O30" i="1"/>
  <c r="R14" i="1"/>
  <c r="S14" i="1" s="1"/>
  <c r="Q6" i="1"/>
  <c r="Q7" i="1"/>
  <c r="Q8" i="1"/>
  <c r="H14" i="1"/>
  <c r="Q23" i="1"/>
  <c r="Q25" i="1"/>
  <c r="M14" i="1"/>
  <c r="M30" i="1" s="1"/>
  <c r="Q9" i="1"/>
  <c r="N30" i="1"/>
  <c r="E26" i="3"/>
  <c r="Q19" i="1"/>
  <c r="J28" i="1"/>
  <c r="H28" i="1"/>
  <c r="J5" i="1"/>
  <c r="S5" i="1"/>
  <c r="S19" i="1"/>
  <c r="R30" i="1" l="1"/>
  <c r="S30" i="1" s="1"/>
  <c r="H30" i="1"/>
  <c r="Q28" i="1"/>
  <c r="J14" i="1"/>
  <c r="J30" i="1" s="1"/>
  <c r="Q5" i="1"/>
  <c r="Q14" i="1" s="1"/>
  <c r="Q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Farmaps</author>
  </authors>
  <commentList>
    <comment ref="B1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Presupuesto estimado de Farmaps, en pesos colombianos (COP). Responsable: Juan David Cardozo Prada. Total: COP 1.950.000. Ambos bloques pertenecen al mismo proyecto. Fechas y estados actualizados el 25/09/2026 según el cronograma.</t>
        </r>
      </text>
    </comment>
    <comment ref="G3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>Fecha de fin planificada según el cronograma. La publicación final (A21) y la entrega académica (M13) están previstas para el 22/11/2026.</t>
        </r>
      </text>
    </comment>
    <comment ref="H3" authorId="0" shapeId="0" xr:uid="{00000000-0006-0000-0000-000003000000}">
      <text>
        <r>
          <rPr>
            <sz val="12"/>
            <color theme="1"/>
            <rFont val="Calibri"/>
            <family val="2"/>
            <scheme val="minor"/>
          </rPr>
          <t>Horas estimadas, no horas ya ejecutadas. Derivadas de Detalle de esfuerzo.</t>
        </r>
      </text>
    </comment>
    <comment ref="Q3" authorId="0" shapeId="0" xr:uid="{00000000-0006-0000-0000-000004000000}">
      <text>
        <r>
          <rPr>
            <sz val="12"/>
            <color theme="1"/>
            <rFont val="Calibri"/>
            <family val="2"/>
            <scheme val="minor"/>
          </rPr>
          <t>Presupuesto calculado sumando los componentes estimados de esta fila.</t>
        </r>
      </text>
    </comment>
    <comment ref="R3" authorId="0" shapeId="0" xr:uid="{00000000-0006-0000-0000-000005000000}">
      <text>
        <r>
          <rPr>
            <sz val="12"/>
            <color theme="1"/>
            <rFont val="Calibri"/>
            <family val="2"/>
            <scheme val="minor"/>
          </rPr>
          <t>Costo real valorado, solo cuando se reporte en Registro real; sin datos no equivale a cero. No se rellenan gastos ficticios.</t>
        </r>
      </text>
    </comment>
    <comment ref="S3" authorId="0" shapeId="0" xr:uid="{00000000-0006-0000-0000-000006000000}">
      <text>
        <r>
          <rPr>
            <sz val="12"/>
            <color theme="1"/>
            <rFont val="Calibri"/>
            <family val="2"/>
            <scheme val="minor"/>
          </rPr>
          <t>Real menos presupuesto. Un valor negativo durante la ejecución no implica ahorro definitivo.</t>
        </r>
      </text>
    </comment>
    <comment ref="C5" authorId="0" shapeId="0" xr:uid="{00000000-0006-0000-0000-000007000000}">
      <text>
        <r>
          <rPr>
            <sz val="12"/>
            <color theme="1"/>
            <rFont val="Calibri"/>
            <family val="2"/>
            <scheme val="minor"/>
          </rPr>
          <t>A01, A02, A03</t>
        </r>
      </text>
    </comment>
    <comment ref="C6" authorId="0" shapeId="0" xr:uid="{00000000-0006-0000-0000-000008000000}">
      <text>
        <r>
          <rPr>
            <sz val="12"/>
            <color theme="1"/>
            <rFont val="Calibri"/>
            <family val="2"/>
            <scheme val="minor"/>
          </rPr>
          <t>A04</t>
        </r>
      </text>
    </comment>
    <comment ref="C7" authorId="0" shapeId="0" xr:uid="{00000000-0006-0000-0000-000009000000}">
      <text>
        <r>
          <rPr>
            <sz val="12"/>
            <color theme="1"/>
            <rFont val="Calibri"/>
            <family val="2"/>
            <scheme val="minor"/>
          </rPr>
          <t>A05, A06</t>
        </r>
      </text>
    </comment>
    <comment ref="C8" authorId="0" shapeId="0" xr:uid="{00000000-0006-0000-0000-00000A000000}">
      <text>
        <r>
          <rPr>
            <sz val="12"/>
            <color theme="1"/>
            <rFont val="Calibri"/>
            <family val="2"/>
            <scheme val="minor"/>
          </rPr>
          <t>A07, A11</t>
        </r>
      </text>
    </comment>
    <comment ref="C9" authorId="0" shapeId="0" xr:uid="{00000000-0006-0000-0000-00000B000000}">
      <text>
        <r>
          <rPr>
            <sz val="12"/>
            <color theme="1"/>
            <rFont val="Calibri"/>
            <family val="2"/>
            <scheme val="minor"/>
          </rPr>
          <t>A08, A09</t>
        </r>
      </text>
    </comment>
    <comment ref="C10" authorId="0" shapeId="0" xr:uid="{00000000-0006-0000-0000-00000C000000}">
      <text>
        <r>
          <rPr>
            <sz val="12"/>
            <color theme="1"/>
            <rFont val="Calibri"/>
            <family val="2"/>
            <scheme val="minor"/>
          </rPr>
          <t>A10</t>
        </r>
      </text>
    </comment>
    <comment ref="C11" authorId="0" shapeId="0" xr:uid="{00000000-0006-0000-0000-00000D000000}">
      <text>
        <r>
          <rPr>
            <sz val="12"/>
            <color theme="1"/>
            <rFont val="Calibri"/>
            <family val="2"/>
            <scheme val="minor"/>
          </rPr>
          <t>A13, A14</t>
        </r>
      </text>
    </comment>
    <comment ref="C12" authorId="0" shapeId="0" xr:uid="{00000000-0006-0000-0000-00000E000000}">
      <text>
        <r>
          <rPr>
            <sz val="12"/>
            <color theme="1"/>
            <rFont val="Calibri"/>
            <family val="2"/>
            <scheme val="minor"/>
          </rPr>
          <t>A15, A16, A17, A18, A19</t>
        </r>
      </text>
    </comment>
    <comment ref="C13" authorId="0" shapeId="0" xr:uid="{00000000-0006-0000-0000-00000F000000}">
      <text>
        <r>
          <rPr>
            <sz val="12"/>
            <color theme="1"/>
            <rFont val="Calibri"/>
            <family val="2"/>
            <scheme val="minor"/>
          </rPr>
          <t>A12, A20, A21</t>
        </r>
      </text>
    </comment>
    <comment ref="G17" authorId="0" shapeId="0" xr:uid="{00000000-0006-0000-0000-000010000000}">
      <text>
        <r>
          <rPr>
            <sz val="12"/>
            <color theme="1"/>
            <rFont val="Calibri"/>
            <family val="2"/>
            <scheme val="minor"/>
          </rPr>
          <t>Fecha de fin planificada según el cronograma. La publicación final (A21) y la entrega académica (M13) están previstas para el 22/11/2026.</t>
        </r>
      </text>
    </comment>
    <comment ref="H17" authorId="0" shapeId="0" xr:uid="{00000000-0006-0000-0000-000011000000}">
      <text>
        <r>
          <rPr>
            <sz val="12"/>
            <color theme="1"/>
            <rFont val="Calibri"/>
            <family val="2"/>
            <scheme val="minor"/>
          </rPr>
          <t>Horas estimadas, no horas ya ejecutadas. Derivadas de Detalle de esfuerzo.</t>
        </r>
      </text>
    </comment>
    <comment ref="Q17" authorId="0" shapeId="0" xr:uid="{00000000-0006-0000-0000-000012000000}">
      <text>
        <r>
          <rPr>
            <sz val="12"/>
            <color theme="1"/>
            <rFont val="Calibri"/>
            <family val="2"/>
            <scheme val="minor"/>
          </rPr>
          <t>Presupuesto calculado sumando los componentes estimados de esta fila.</t>
        </r>
      </text>
    </comment>
    <comment ref="R17" authorId="0" shapeId="0" xr:uid="{00000000-0006-0000-0000-000013000000}">
      <text>
        <r>
          <rPr>
            <sz val="12"/>
            <color theme="1"/>
            <rFont val="Calibri"/>
            <family val="2"/>
            <scheme val="minor"/>
          </rPr>
          <t>Costo real valorado, solo cuando se reporte en Registro real; sin datos no equivale a cero. No se rellenan gastos ficticios.</t>
        </r>
      </text>
    </comment>
    <comment ref="S17" authorId="0" shapeId="0" xr:uid="{00000000-0006-0000-0000-000014000000}">
      <text>
        <r>
          <rPr>
            <sz val="12"/>
            <color theme="1"/>
            <rFont val="Calibri"/>
            <family val="2"/>
            <scheme val="minor"/>
          </rPr>
          <t>Real menos presupuesto. Un valor negativo durante la ejecución no implica ahorro definitivo.</t>
        </r>
      </text>
    </comment>
    <comment ref="C19" authorId="0" shapeId="0" xr:uid="{00000000-0006-0000-0000-000015000000}">
      <text>
        <r>
          <rPr>
            <sz val="12"/>
            <color theme="1"/>
            <rFont val="Calibri"/>
            <family val="2"/>
            <scheme val="minor"/>
          </rPr>
          <t>M01-M09: acta, requisitos, EDT, cronograma, presupuesto, riesgos, presentación del alcance, solicitudes de cambio y seguimiento.</t>
        </r>
      </text>
    </comment>
    <comment ref="C20" authorId="0" shapeId="0" xr:uid="{00000000-0006-0000-0000-000016000000}">
      <text>
        <r>
          <rPr>
            <sz val="12"/>
            <color theme="1"/>
            <rFont val="Calibri"/>
            <family val="2"/>
            <scheme val="minor"/>
          </rPr>
          <t>S01-S05: interfaz, datos, arquitectura, revisión del diseño y preparación de casos de prueba (S04 se programó del 09/11 al 11/11).</t>
        </r>
      </text>
    </comment>
    <comment ref="C21" authorId="0" shapeId="0" xr:uid="{00000000-0006-0000-0000-000017000000}">
      <text>
        <r>
          <rPr>
            <sz val="12"/>
            <color theme="1"/>
            <rFont val="Calibri"/>
            <family val="2"/>
            <scheme val="minor"/>
          </rPr>
          <t>M10-M13: manuales, informe final, sustentación y entrega académica.</t>
        </r>
      </text>
    </comment>
    <comment ref="C22" authorId="0" shapeId="0" xr:uid="{00000000-0006-0000-0000-000018000000}">
      <text>
        <r>
          <rPr>
            <sz val="12"/>
            <color theme="1"/>
            <rFont val="Calibri"/>
            <family val="2"/>
            <scheme val="minor"/>
          </rPr>
          <t>Estimación conjunta del acta para todo el proyecto; por confirmar.</t>
        </r>
      </text>
    </comment>
    <comment ref="C23" authorId="0" shapeId="0" xr:uid="{00000000-0006-0000-0000-000019000000}">
      <text>
        <r>
          <rPr>
            <sz val="12"/>
            <color theme="1"/>
            <rFont val="Calibri"/>
            <family val="2"/>
            <scheme val="minor"/>
          </rPr>
          <t>Reserva del acta; no es gasto efectuado ni compra autorizada.</t>
        </r>
      </text>
    </comment>
    <comment ref="C24" authorId="0" shapeId="0" xr:uid="{00000000-0006-0000-0000-00001A000000}">
      <text>
        <r>
          <rPr>
            <sz val="12"/>
            <color theme="1"/>
            <rFont val="Calibri"/>
            <family val="2"/>
            <scheme val="minor"/>
          </rPr>
          <t>Uso de computador disponible, sin compra adicional ni depreciación presupuestada.</t>
        </r>
      </text>
    </comment>
    <comment ref="C25" authorId="0" shapeId="0" xr:uid="{00000000-0006-0000-0000-00001B000000}">
      <text>
        <r>
          <rPr>
            <sz val="12"/>
            <color theme="1"/>
            <rFont val="Calibri"/>
            <family val="2"/>
            <scheme val="minor"/>
          </rPr>
          <t>Herramientas gratuitas o de código abierto; sin licencias de pago.</t>
        </r>
      </text>
    </comment>
    <comment ref="C26" authorId="0" shapeId="0" xr:uid="{00000000-0006-0000-0000-00001C000000}">
      <text>
        <r>
          <rPr>
            <sz val="12"/>
            <color theme="1"/>
            <rFont val="Calibri"/>
            <family val="2"/>
            <scheme val="minor"/>
          </rPr>
          <t>Servicios gratuitos sujetos a cuotas; sin compra de dominio.</t>
        </r>
      </text>
    </comment>
    <comment ref="C27" authorId="0" shapeId="0" xr:uid="{00000000-0006-0000-0000-00001D000000}">
      <text>
        <r>
          <rPr>
            <sz val="12"/>
            <color theme="1"/>
            <rFont val="Calibri"/>
            <family val="2"/>
            <scheme val="minor"/>
          </rPr>
          <t>No se prevén compras de materiales ni desplazamientos para el prototipo.</t>
        </r>
      </text>
    </comment>
    <comment ref="R30" authorId="0" shapeId="0" xr:uid="{00000000-0006-0000-0000-00001E000000}">
      <text>
        <r>
          <rPr>
            <sz val="12"/>
            <color theme="1"/>
            <rFont val="Calibri"/>
            <family val="2"/>
            <scheme val="minor"/>
          </rPr>
          <t>El total real solo aparece cuando los 18 rubros tienen un costo real reportado, incluido 0 si está confirmado. Esto evita presentar un total parcial como costo real definitivo.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Farmaps</author>
  </authors>
  <commentList>
    <comment ref="D1" authorId="0" shapeId="0" xr:uid="{00000000-0006-0000-0300-000001000000}">
      <text>
        <r>
          <rPr>
            <sz val="12"/>
            <color theme="1"/>
            <rFont val="Calibri"/>
            <family val="2"/>
            <scheme val="minor"/>
          </rPr>
          <t>Importe realizado por rubro: valoración de horas efectivamente trabajadas para mano de obra propia, y gasto comprobado para recursos. No representa necesariamente un pago al estudiante. Dejar vacío si no se conoce; ingresar 0 solo si está confirmado. No sumar recursos incluidos en otros rubros.</t>
        </r>
      </text>
    </comment>
  </commentList>
</comments>
</file>

<file path=xl/sharedStrings.xml><?xml version="1.0" encoding="utf-8"?>
<sst xmlns="http://schemas.openxmlformats.org/spreadsheetml/2006/main" count="321" uniqueCount="180">
  <si>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</si>
  <si>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</si>
  <si>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</si>
  <si>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</si>
  <si>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</si>
  <si>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</si>
  <si>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</si>
  <si>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</si>
  <si>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</si>
  <si>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</si>
  <si>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</si>
  <si>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</si>
  <si>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</si>
  <si>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</si>
  <si>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</si>
  <si>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</si>
  <si>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</si>
  <si>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</si>
  <si>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</si>
  <si>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</si>
  <si>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</si>
  <si>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</si>
  <si>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</si>
  <si>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FARMAPS</t>
  </si>
  <si>
    <t>Desarrollo técnico</t>
  </si>
  <si>
    <t>D01</t>
  </si>
  <si>
    <t>Entorno y datos</t>
  </si>
  <si>
    <t>No Iniciado</t>
  </si>
  <si>
    <t>D02</t>
  </si>
  <si>
    <t>Servicio de búsqueda</t>
  </si>
  <si>
    <t>D03</t>
  </si>
  <si>
    <t>Administración</t>
  </si>
  <si>
    <t>D04</t>
  </si>
  <si>
    <t>Interfaz web</t>
  </si>
  <si>
    <t>D05</t>
  </si>
  <si>
    <t>Mapa y ubicación</t>
  </si>
  <si>
    <t>D06</t>
  </si>
  <si>
    <t>Comparación</t>
  </si>
  <si>
    <t>D07</t>
  </si>
  <si>
    <t>Integración</t>
  </si>
  <si>
    <t>D08</t>
  </si>
  <si>
    <t>Pruebas y correcciones</t>
  </si>
  <si>
    <t>D09</t>
  </si>
  <si>
    <t>Despliegue y versión final</t>
  </si>
  <si>
    <t>SUBTOTAL</t>
  </si>
  <si>
    <t>Trabajo académico y recursos</t>
  </si>
  <si>
    <t>G01</t>
  </si>
  <si>
    <t>Gestión y requisitos</t>
  </si>
  <si>
    <t>En Progreso</t>
  </si>
  <si>
    <t>G02</t>
  </si>
  <si>
    <t>Diseño previo</t>
  </si>
  <si>
    <t>G03</t>
  </si>
  <si>
    <t>Documentación y cierre</t>
  </si>
  <si>
    <t>R01</t>
  </si>
  <si>
    <t>Conectividad y energía</t>
  </si>
  <si>
    <t>En Espera</t>
  </si>
  <si>
    <t>R02</t>
  </si>
  <si>
    <t>Reserva de contingencia</t>
  </si>
  <si>
    <t>R03</t>
  </si>
  <si>
    <t>Equipo existente</t>
  </si>
  <si>
    <t>R04</t>
  </si>
  <si>
    <t>Software y base de datos</t>
  </si>
  <si>
    <t>R05</t>
  </si>
  <si>
    <t>Mapa y alojamiento</t>
  </si>
  <si>
    <t>R06</t>
  </si>
  <si>
    <t>Materiales y viajes</t>
  </si>
  <si>
    <t>TOTAL</t>
  </si>
  <si>
    <t>FARMAPS (COP)</t>
  </si>
  <si>
    <t>listas desplegables</t>
  </si>
  <si>
    <t>SI / NO</t>
  </si>
  <si>
    <t>PRIORIDAD</t>
  </si>
  <si>
    <t>Si</t>
  </si>
  <si>
    <t>Baja</t>
  </si>
  <si>
    <t>No</t>
  </si>
  <si>
    <t>Media</t>
  </si>
  <si>
    <t>Alta</t>
  </si>
  <si>
    <t>Completo</t>
  </si>
  <si>
    <t>Requiere Revisión</t>
  </si>
  <si>
    <t>Aprobado</t>
  </si>
  <si>
    <t>Atrasado</t>
  </si>
  <si>
    <t>ID</t>
  </si>
  <si>
    <t>Actividad / rubro</t>
  </si>
  <si>
    <t>Horas estimadas</t>
  </si>
  <si>
    <t>Valor hora (COP)</t>
  </si>
  <si>
    <t>Costo estimado (COP)</t>
  </si>
  <si>
    <t>Alcance</t>
  </si>
  <si>
    <t>Responsable</t>
  </si>
  <si>
    <t>A01</t>
  </si>
  <si>
    <t>Configurar el entorno y el repositorio</t>
  </si>
  <si>
    <t>Juan David Cardozo Prada</t>
  </si>
  <si>
    <t>A02</t>
  </si>
  <si>
    <t>Implementar la base de datos y sus validaciones</t>
  </si>
  <si>
    <t>A03</t>
  </si>
  <si>
    <t>Preparar el catálogo de demostración</t>
  </si>
  <si>
    <t>A04</t>
  </si>
  <si>
    <t>Desarrollar consultas y búsqueda de medicamentos</t>
  </si>
  <si>
    <t>A05</t>
  </si>
  <si>
    <t>Implementar el acceso administrativo</t>
  </si>
  <si>
    <t>A06</t>
  </si>
  <si>
    <t>Implementar la gestión del catálogo</t>
  </si>
  <si>
    <t>A07</t>
  </si>
  <si>
    <t>Desarrollar la búsqueda y lista de resultados</t>
  </si>
  <si>
    <t>A08</t>
  </si>
  <si>
    <t>Integrar el mapa y las fichas de farmacias</t>
  </si>
  <si>
    <t>A09</t>
  </si>
  <si>
    <t>Implementar ubicación y distancia aproximada</t>
  </si>
  <si>
    <t>A10</t>
  </si>
  <si>
    <t>Implementar comparación y ordenamiento</t>
  </si>
  <si>
    <t>A11</t>
  </si>
  <si>
    <t>Integrar interfaz adaptable y manejo de errores</t>
  </si>
  <si>
    <t>A12</t>
  </si>
  <si>
    <t>Preparar despliegue demostrativo y respaldos</t>
  </si>
  <si>
    <t>A13</t>
  </si>
  <si>
    <t>Comprobar la integración del prototipo</t>
  </si>
  <si>
    <t>A14</t>
  </si>
  <si>
    <t>Estabilizar la versión integrada del prototipo</t>
  </si>
  <si>
    <t>A15</t>
  </si>
  <si>
    <t>Ejecutar pruebas funcionales y de datos</t>
  </si>
  <si>
    <t>A16</t>
  </si>
  <si>
    <t>Probar distancia, permisos y acceso restringido</t>
  </si>
  <si>
    <t>A17</t>
  </si>
  <si>
    <t>Evaluar usabilidad y compatibilidad</t>
  </si>
  <si>
    <t>A18</t>
  </si>
  <si>
    <t>Medir rendimiento y registrar incidencias</t>
  </si>
  <si>
    <t>A19</t>
  </si>
  <si>
    <t>Corregir defectos y ejecutar regresión</t>
  </si>
  <si>
    <t>A20</t>
  </si>
  <si>
    <t>Realizar ajustes finales y estabilizar la versión</t>
  </si>
  <si>
    <t>A21</t>
  </si>
  <si>
    <t>Publicar y respaldar la versión final</t>
  </si>
  <si>
    <t>Gestión, acta y requisitos</t>
  </si>
  <si>
    <t>Trabajo académico no técnico</t>
  </si>
  <si>
    <t>Diseño de interfaz, datos, arquitectura y preparación de pruebas</t>
  </si>
  <si>
    <t>Manuales, informe, sustentación y entrega académica</t>
  </si>
  <si>
    <t>Proyecto completo</t>
  </si>
  <si>
    <t>Rubro</t>
  </si>
  <si>
    <t>Descripción</t>
  </si>
  <si>
    <t>Inicio real</t>
  </si>
  <si>
    <t>Costo real valorado (COP)</t>
  </si>
  <si>
    <t>Soporte / observación</t>
  </si>
  <si>
    <t>Concepto</t>
  </si>
  <si>
    <t>Criterio</t>
  </si>
  <si>
    <t>Referencia</t>
  </si>
  <si>
    <t>Alcance del presupuesto</t>
  </si>
  <si>
    <t>Presupuesto del proyecto completo, a diferencia de la lista y EDT que cubren únicamente el desarrollo. Los dos bloques de la primera hoja corresponden al mismo Farmaps, no a dos proyectos.</t>
  </si>
  <si>
    <t>Trabajo individual</t>
  </si>
  <si>
    <t>Juan David Cardozo Prada ejecuta todo el trabajo. Las 120 horas a COP 15.000/h representan COP 1.800.000 de valoración académica del esfuerzo; no son contratación ni pago obligatorio al estudiante.</t>
  </si>
  <si>
    <t>73 horas = COP 1.095.000. Las 21 actividades A01–A21 se agrupan en nueve rubros sin omisiones ni duplicaciones; el detalle por actividad se conserva en Detalle de esfuerzo.</t>
  </si>
  <si>
    <t>Trabajo académico complementario</t>
  </si>
  <si>
    <t>47 horas = COP 705.000: gestión y requisitos 20 h, diseño y preparación 16 h, manuales/informe/sustentación/entrega 11 h. Son las actividades excluidas de la lista técnica, no nuevas horas añadidas al total.</t>
  </si>
  <si>
    <t>Recursos y contingencia</t>
  </si>
  <si>
    <t>COP 100.000 de conectividad y energía, más COP 50.000 de reserva. Se registran una sola vez como misceláneos de la plantilla. Total de gastos/reserva estimado: COP 150.000; no representa gasto ya ejecutado.</t>
  </si>
  <si>
    <t>Sin costo adicional</t>
  </si>
  <si>
    <t>Equipo existente, software, base de datos, mapa y alojamiento gratuito: COP 0 adicional previsto. Sin compra de dominio, materiales ni viajes. Los ceros son supuestos presupuestarios, no cotizaciones ni confirmación de gratuidad ilimitada.</t>
  </si>
  <si>
    <t>Fechas y disponibilidad</t>
  </si>
  <si>
    <t>Fecha y costo real</t>
  </si>
  <si>
    <t>Interpretación del real</t>
  </si>
  <si>
    <t>Para mano de obra propia, registrar la valoración del esfuerzo efectivamente realizado con respaldo de horas; para recursos, el gasto comprobado. El total combina valoración y gastos, por lo que no equivale al dinero desembolsado.</t>
  </si>
  <si>
    <t>Estado inicial</t>
  </si>
  <si>
    <t>Fórmulas</t>
  </si>
  <si>
    <t>J calcula horas por tarifa; M calcula unidades por valor unitario; Q suma componentes estimados. R consulta Registro real y S calcula real menos presupuesto solo si existe un valor real reportado. Subtotales y total real permanecen vacíos hasta completar los rubros correspondientes.</t>
  </si>
  <si>
    <t>Diferencia y reserva</t>
  </si>
  <si>
    <t>Una diferencia negativa durante la ejecución no demuestra ahorro final. La reserva de COP 50.000 no se gasta automáticamente; si se utiliza, registrar el gasto una sola vez en el rubro que corresponda, evitando contarlo también como reserva ejecutada.</t>
  </si>
  <si>
    <t>Mantenimiento</t>
  </si>
  <si>
    <t>Editar horas y actividades en Detalle de esfuerzo; mantener la tarifa de COP 15.000/h mientras no se apruebe un cambio y sincronizarla si cambia. Presupuesto es una base estimada, no una factura. Revisar totales y límites gratuitos antes de contratar servicios.</t>
  </si>
  <si>
    <t>Formato</t>
  </si>
  <si>
    <t>Primera hoja con distribución, encabezados, tipografía, colores, anchos y combinaciones de celdas de la plantilla original. Las actividades usan nombres compactos y comentarios para mostrar el detalle sin ensanchar columnas. Solo se amplían las filas de datos para legibilidad y se añade un total general con el estilo de subtotal original. Las hojas de apoyo conservan el desglose y el registro real.</t>
  </si>
  <si>
    <t>Completado según el cronograma del 25/09/2026 (ejecutado antes de su ventana). No hay registro de horas reales; costo real sin reportar.</t>
  </si>
  <si>
    <t>A12 completada; A20 y A21 programadas para el 21 y el 22/11/2026. Costo real sin reportar.</t>
  </si>
  <si>
    <t>Completado según el cronograma del 25/09/2026. No hay registro de horas reales; costo real sin reportar.</t>
  </si>
  <si>
    <t>Programado del 16/11 al 22/11/2026.</t>
  </si>
  <si>
    <t>En uso durante el proyecto; sin gasto adicional comprobado a la fecha.</t>
  </si>
  <si>
    <t>Reserva no utilizada a la fecha.</t>
  </si>
  <si>
    <t>En uso: Firebase (Hosting, Firestore y Authentication) en plan gratuito, Leaflet y OpenStreetMap; COP 0 pagados a la fecha. La cuota diaria gratuita de Firestore se agotó una vez (INC-09).</t>
  </si>
  <si>
    <t>Sin compras de materiales ni desplazamientos a la fecha.</t>
  </si>
  <si>
    <t>Acta_de_Constitucion.docx actualizada por el estudiante, lista de actividades técnicas vigente y cronograma del proyecto (Cronograma.xlsx). Elaboración: 17/09/2026; actualización de fechas y estados: 25/09/2026. Se conserva el total de COP 1.950.000 del acta.</t>
  </si>
  <si>
    <t>Según el cronograma, el proyecto va del 03/08/2026 al 22/11/2026 (112 días), antes de la última semana de noviembre. Desarrollo técnico del 05/10 al 22/11/2026; publicación final y entrega académica el 22/11/2026. Las fechas de los rubros son las ventanas de sus actividades, no dedicación continua o simultánea.</t>
  </si>
  <si>
    <t>No se registraron fechas efectivas por rubro ni horas reales, por eso el costo real sigue vacío. En Registro real solo se anota el soporte u observación de cada rubro. No se copian las estimaciones como si fueran ejecución real.</t>
  </si>
  <si>
    <t>Estado al 25/09/2026 según el cronograma: D01-D08, G01 y G02 Completo; D09 En Progreso (A12 completa, A20 y A21 pendientes); G03 No Iniciado. Recursos: R01, R03, R04 y R05 En Progreso porque están en uso; R02 y R06 En Espera. No se presume que existan aprobación, desembolsos o financiación.</t>
  </si>
  <si>
    <t>Presupuesto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</si>
</sst>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"/>
    <numFmt numFmtId="165" formatCode="&quot;$&quot;#,##0.00_);\(&quot;$&quot;#,##0.00\)"/>
    <numFmt numFmtId="166" formatCode="mm/dd/yy;@"/>
    <numFmt numFmtId="167" formatCode="&quot;$&quot;#,##0_);\(&quot;$&quot;#,##0\)"/>
    <numFmt numFmtId="168" formatCode="_(&quot;$&quot;* #,##0_);_(&quot;$&quot;* \(#,##0\);_(&quot;$&quot;* &quot;-&quot;??_);_(@_)"/>
    <numFmt numFmtId="169" formatCode="dd/mm/yyyy"/>
    <numFmt numFmtId="170" formatCode="_(&quot;$&quot;* #,##0.00_);_(&quot;$&quot;* \(#,##0.00\);_(&quot;$&quot;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name val="Century Gothic"/>
      <family val="1"/>
    </font>
    <font>
      <sz val="10"/>
      <color theme="1"/>
      <name val="Century Gothic"/>
      <family val="1"/>
    </font>
    <font>
      <b/>
      <sz val="10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</fonts>
  <fills count="1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double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</borders>
  <cellStyleXfs count="4">
    <xf numFmtId="0" fontId="0" fillId="0" borderId="0"/>
    <xf numFmtId="170" fontId="1" fillId="0" borderId="0"/>
    <xf numFmtId="0" fontId="2" fillId="0" borderId="0"/>
    <xf numFmtId="0" fontId="8" fillId="0" borderId="0"/>
  </cellStyleXfs>
  <cellXfs count="88">
    <xf numFmtId="0" fontId="0" fillId="0" borderId="0" xfId="0"/>
    <xf numFmtId="164" fontId="4" fillId="3" borderId="0" xfId="0" applyNumberFormat="1" applyFont="1" applyFill="1" applyAlignment="1" applyProtection="1">
      <alignment wrapText="1"/>
      <protection locked="0"/>
    </xf>
    <xf numFmtId="165" fontId="4" fillId="3" borderId="0" xfId="1" applyNumberFormat="1" applyFont="1" applyFill="1" applyAlignment="1" applyProtection="1">
      <alignment wrapText="1"/>
      <protection locked="0"/>
    </xf>
    <xf numFmtId="43" fontId="6" fillId="3" borderId="0" xfId="0" applyNumberFormat="1" applyFont="1" applyFill="1" applyAlignment="1" applyProtection="1">
      <alignment horizontal="left" vertical="top" wrapText="1"/>
      <protection locked="0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43" fontId="4" fillId="3" borderId="0" xfId="1" applyNumberFormat="1" applyFont="1" applyFill="1" applyAlignment="1">
      <alignment wrapText="1"/>
    </xf>
    <xf numFmtId="0" fontId="7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164" fontId="4" fillId="3" borderId="0" xfId="0" applyNumberFormat="1" applyFont="1" applyFill="1" applyAlignment="1" applyProtection="1">
      <alignment horizontal="left" vertical="center" wrapText="1" indent="1"/>
      <protection locked="0"/>
    </xf>
    <xf numFmtId="165" fontId="4" fillId="3" borderId="0" xfId="1" applyNumberFormat="1" applyFont="1" applyFill="1" applyAlignment="1" applyProtection="1">
      <alignment horizontal="left" vertical="center" wrapText="1" indent="1"/>
      <protection locked="0"/>
    </xf>
    <xf numFmtId="43" fontId="4" fillId="3" borderId="0" xfId="1" applyNumberFormat="1" applyFont="1" applyFill="1" applyAlignment="1">
      <alignment horizontal="left" vertical="center" wrapText="1" indent="1"/>
    </xf>
    <xf numFmtId="43" fontId="6" fillId="3" borderId="0" xfId="0" applyNumberFormat="1" applyFont="1" applyFill="1" applyAlignment="1" applyProtection="1">
      <alignment horizontal="left" vertical="center" wrapText="1" indent="1"/>
      <protection locked="0"/>
    </xf>
    <xf numFmtId="0" fontId="5" fillId="3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 indent="1"/>
    </xf>
    <xf numFmtId="166" fontId="11" fillId="5" borderId="1" xfId="0" applyNumberFormat="1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vertical="center"/>
    </xf>
    <xf numFmtId="0" fontId="13" fillId="0" borderId="0" xfId="0" applyFont="1"/>
    <xf numFmtId="0" fontId="5" fillId="7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10" fillId="12" borderId="1" xfId="0" applyFont="1" applyFill="1" applyBorder="1" applyAlignment="1">
      <alignment horizontal="left" vertical="center" indent="1"/>
    </xf>
    <xf numFmtId="0" fontId="10" fillId="13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indent="1"/>
    </xf>
    <xf numFmtId="0" fontId="10" fillId="15" borderId="1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" fillId="2" borderId="2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 applyProtection="1">
      <alignment horizontal="left" vertical="center" wrapText="1" indent="1"/>
      <protection locked="0"/>
    </xf>
    <xf numFmtId="0" fontId="3" fillId="5" borderId="1" xfId="0" applyFont="1" applyFill="1" applyBorder="1" applyAlignment="1">
      <alignment horizontal="left" vertical="center" wrapText="1" indent="1"/>
    </xf>
    <xf numFmtId="165" fontId="11" fillId="5" borderId="1" xfId="1" applyNumberFormat="1" applyFont="1" applyFill="1" applyBorder="1" applyAlignment="1" applyProtection="1">
      <alignment vertical="center"/>
      <protection locked="0"/>
    </xf>
    <xf numFmtId="0" fontId="17" fillId="3" borderId="0" xfId="0" applyFont="1" applyFill="1" applyAlignment="1">
      <alignment vertical="center"/>
    </xf>
    <xf numFmtId="167" fontId="11" fillId="5" borderId="1" xfId="0" applyNumberFormat="1" applyFont="1" applyFill="1" applyBorder="1" applyAlignment="1" applyProtection="1">
      <alignment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1" xfId="1" applyNumberFormat="1" applyFont="1" applyBorder="1" applyAlignment="1" applyProtection="1">
      <alignment horizontal="righ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0" fontId="11" fillId="2" borderId="9" xfId="0" applyFont="1" applyFill="1" applyBorder="1" applyAlignment="1">
      <alignment horizontal="center" vertical="center" wrapText="1"/>
    </xf>
    <xf numFmtId="167" fontId="11" fillId="5" borderId="9" xfId="1" applyNumberFormat="1" applyFont="1" applyFill="1" applyBorder="1" applyAlignment="1" applyProtection="1">
      <alignment vertical="center"/>
      <protection locked="0"/>
    </xf>
    <xf numFmtId="0" fontId="11" fillId="2" borderId="7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168" fontId="11" fillId="5" borderId="12" xfId="1" applyNumberFormat="1" applyFont="1" applyFill="1" applyBorder="1" applyAlignment="1" applyProtection="1">
      <alignment vertical="center"/>
      <protection locked="0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68" fontId="11" fillId="5" borderId="13" xfId="1" applyNumberFormat="1" applyFont="1" applyFill="1" applyBorder="1" applyAlignment="1">
      <alignment vertical="center"/>
    </xf>
    <xf numFmtId="0" fontId="17" fillId="3" borderId="14" xfId="0" applyFont="1" applyFill="1" applyBorder="1" applyAlignment="1">
      <alignment vertical="center"/>
    </xf>
    <xf numFmtId="0" fontId="11" fillId="2" borderId="15" xfId="0" applyFont="1" applyFill="1" applyBorder="1" applyAlignment="1">
      <alignment horizontal="center" vertical="center" wrapText="1"/>
    </xf>
    <xf numFmtId="166" fontId="11" fillId="5" borderId="16" xfId="0" applyNumberFormat="1" applyFont="1" applyFill="1" applyBorder="1" applyAlignment="1">
      <alignment horizontal="left" vertical="center" wrapText="1" indent="1"/>
    </xf>
    <xf numFmtId="166" fontId="5" fillId="4" borderId="1" xfId="0" applyNumberFormat="1" applyFont="1" applyFill="1" applyBorder="1" applyAlignment="1">
      <alignment horizontal="left" vertical="center" wrapText="1" indent="1"/>
    </xf>
    <xf numFmtId="166" fontId="5" fillId="4" borderId="16" xfId="0" applyNumberFormat="1" applyFont="1" applyFill="1" applyBorder="1" applyAlignment="1">
      <alignment horizontal="left" vertical="center" wrapText="1" indent="1"/>
    </xf>
    <xf numFmtId="0" fontId="5" fillId="4" borderId="7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164" fontId="4" fillId="0" borderId="7" xfId="0" applyNumberFormat="1" applyFont="1" applyBorder="1" applyAlignment="1" applyProtection="1">
      <alignment horizontal="center" vertical="center"/>
      <protection locked="0"/>
    </xf>
    <xf numFmtId="167" fontId="4" fillId="4" borderId="1" xfId="1" applyNumberFormat="1" applyFont="1" applyFill="1" applyBorder="1" applyAlignment="1" applyProtection="1">
      <alignment horizontal="right" vertical="center"/>
      <protection locked="0"/>
    </xf>
    <xf numFmtId="167" fontId="4" fillId="0" borderId="9" xfId="1" applyNumberFormat="1" applyFont="1" applyBorder="1" applyAlignment="1" applyProtection="1">
      <alignment vertical="center"/>
      <protection locked="0"/>
    </xf>
    <xf numFmtId="168" fontId="5" fillId="0" borderId="13" xfId="1" applyNumberFormat="1" applyFont="1" applyBorder="1" applyAlignment="1">
      <alignment vertical="center"/>
    </xf>
    <xf numFmtId="168" fontId="4" fillId="6" borderId="12" xfId="1" applyNumberFormat="1" applyFont="1" applyFill="1" applyBorder="1" applyAlignment="1" applyProtection="1">
      <alignment horizontal="left" vertical="center"/>
      <protection locked="0"/>
    </xf>
    <xf numFmtId="168" fontId="5" fillId="7" borderId="12" xfId="1" applyNumberFormat="1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 wrapText="1" indent="1"/>
    </xf>
    <xf numFmtId="0" fontId="10" fillId="17" borderId="1" xfId="0" applyFont="1" applyFill="1" applyBorder="1" applyAlignment="1">
      <alignment horizontal="left" vertical="center" wrapText="1" indent="1" readingOrder="1"/>
    </xf>
    <xf numFmtId="0" fontId="10" fillId="18" borderId="1" xfId="0" applyFont="1" applyFill="1" applyBorder="1" applyAlignment="1">
      <alignment horizontal="left" vertical="center" wrapText="1" indent="1" readingOrder="1"/>
    </xf>
    <xf numFmtId="169" fontId="5" fillId="0" borderId="1" xfId="0" applyNumberFormat="1" applyFont="1" applyBorder="1" applyAlignment="1" applyProtection="1">
      <alignment horizontal="left" vertical="center" wrapText="1" indent="1"/>
      <protection locked="0"/>
    </xf>
    <xf numFmtId="169" fontId="5" fillId="0" borderId="16" xfId="0" applyNumberFormat="1" applyFont="1" applyBorder="1" applyAlignment="1" applyProtection="1">
      <alignment horizontal="left" vertical="center" wrapText="1" inden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167" fontId="5" fillId="0" borderId="1" xfId="0" applyNumberFormat="1" applyFont="1" applyBorder="1" applyAlignment="1" applyProtection="1">
      <alignment vertical="center" wrapText="1"/>
      <protection locked="0"/>
    </xf>
    <xf numFmtId="167" fontId="5" fillId="4" borderId="1" xfId="0" applyNumberFormat="1" applyFont="1" applyFill="1" applyBorder="1" applyAlignment="1" applyProtection="1">
      <alignment vertical="center" wrapText="1"/>
      <protection locked="0"/>
    </xf>
    <xf numFmtId="169" fontId="5" fillId="0" borderId="1" xfId="0" applyNumberFormat="1" applyFont="1" applyBorder="1" applyAlignment="1" applyProtection="1">
      <alignment vertical="center" wrapText="1"/>
      <protection locked="0"/>
    </xf>
    <xf numFmtId="1" fontId="12" fillId="5" borderId="7" xfId="0" applyNumberFormat="1" applyFont="1" applyFill="1" applyBorder="1" applyAlignment="1" applyProtection="1">
      <alignment horizontal="left" vertical="center"/>
      <protection locked="0"/>
    </xf>
    <xf numFmtId="0" fontId="11" fillId="9" borderId="18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11" xfId="0" applyFont="1" applyBorder="1"/>
    <xf numFmtId="0" fontId="11" fillId="9" borderId="6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1" fillId="9" borderId="4" xfId="0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horizontal="center" vertical="center" wrapText="1"/>
    </xf>
    <xf numFmtId="0" fontId="1" fillId="0" borderId="8" xfId="0" applyFont="1" applyBorder="1"/>
  </cellXfs>
  <cellStyles count="4">
    <cellStyle name="Hipervínculo visitado" xfId="2" builtinId="9" hidden="1"/>
    <cellStyle name="Moneda" xfId="1" builtinId="4"/>
    <cellStyle name="Normal" xfId="0" builtinId="0"/>
    <cellStyle name="Normal 2" xfId="3" xr:uid="{00000000-0005-0000-0000-000003000000}"/>
  </cellStyles>
  <dxfs count="42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AO417"/>
  <sheetViews>
    <sheetView showGridLines="0" tabSelected="1" zoomScale="85" zoomScaleNormal="55" workbookViewId="0">
      <pane xSplit="7" ySplit="4" topLeftCell="H5" activePane="bottomRight" state="frozen"/>
      <selection pane="topRight"/>
      <selection pane="bottomLeft"/>
      <selection pane="bottomRight" activeCell="S7" sqref="S7"/>
    </sheetView>
  </sheetViews>
  <sheetFormatPr baseColWidth="10" defaultColWidth="11" defaultRowHeight="13.2" x14ac:dyDescent="0.25"/>
  <cols>
    <col min="1" max="1" width="3.09765625" style="5" customWidth="1"/>
    <col min="2" max="2" width="13.8984375" style="5" customWidth="1"/>
    <col min="3" max="3" width="20.8984375" style="5" customWidth="1"/>
    <col min="4" max="4" width="12.8984375" style="5" customWidth="1"/>
    <col min="5" max="7" width="11.59765625" style="5" customWidth="1"/>
    <col min="8" max="8" width="8.8984375" style="5" customWidth="1"/>
    <col min="9" max="9" width="10" style="5" customWidth="1"/>
    <col min="10" max="10" width="11.8984375" style="5" customWidth="1"/>
    <col min="11" max="11" width="8.8984375" style="5" customWidth="1"/>
    <col min="12" max="12" width="10" style="5" customWidth="1"/>
    <col min="13" max="16" width="11.8984375" style="5" customWidth="1"/>
    <col min="17" max="19" width="12.8984375" style="5" customWidth="1"/>
    <col min="20" max="20" width="3.09765625" style="5" customWidth="1"/>
    <col min="21" max="21" width="11" style="5" customWidth="1"/>
    <col min="22" max="16384" width="11" style="5"/>
  </cols>
  <sheetData>
    <row r="1" spans="1:41" ht="45" customHeight="1" thickBot="1" x14ac:dyDescent="0.3">
      <c r="A1" s="4"/>
      <c r="B1" s="35" t="s">
        <v>179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8"/>
      <c r="P1" s="8"/>
      <c r="Q1" s="8"/>
      <c r="R1" s="8"/>
      <c r="S1" s="8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s="10" customFormat="1" ht="35.1" customHeight="1" x14ac:dyDescent="0.3">
      <c r="A2" s="9"/>
      <c r="B2" s="41" t="s">
        <v>23</v>
      </c>
      <c r="C2" s="41"/>
      <c r="D2" s="41"/>
      <c r="E2" s="41"/>
      <c r="F2" s="41"/>
      <c r="G2" s="54"/>
      <c r="H2" s="83" t="s">
        <v>1</v>
      </c>
      <c r="I2" s="81"/>
      <c r="J2" s="84"/>
      <c r="K2" s="85" t="s">
        <v>2</v>
      </c>
      <c r="L2" s="81"/>
      <c r="M2" s="84"/>
      <c r="N2" s="86" t="s">
        <v>3</v>
      </c>
      <c r="O2" s="81"/>
      <c r="P2" s="87"/>
      <c r="Q2" s="80" t="s">
        <v>4</v>
      </c>
      <c r="R2" s="81"/>
      <c r="S2" s="82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s="10" customFormat="1" ht="35.1" customHeight="1" x14ac:dyDescent="0.3">
      <c r="A3" s="9"/>
      <c r="B3" s="36" t="s">
        <v>5</v>
      </c>
      <c r="C3" s="36" t="s">
        <v>6</v>
      </c>
      <c r="D3" s="36" t="s">
        <v>7</v>
      </c>
      <c r="E3" s="19" t="s">
        <v>8</v>
      </c>
      <c r="F3" s="19" t="s">
        <v>9</v>
      </c>
      <c r="G3" s="55" t="s">
        <v>10</v>
      </c>
      <c r="H3" s="48" t="s">
        <v>11</v>
      </c>
      <c r="I3" s="20" t="s">
        <v>12</v>
      </c>
      <c r="J3" s="20" t="s">
        <v>13</v>
      </c>
      <c r="K3" s="19" t="s">
        <v>14</v>
      </c>
      <c r="L3" s="19" t="s">
        <v>15</v>
      </c>
      <c r="M3" s="19" t="s">
        <v>16</v>
      </c>
      <c r="N3" s="19" t="s">
        <v>17</v>
      </c>
      <c r="O3" s="19" t="s">
        <v>18</v>
      </c>
      <c r="P3" s="46" t="s">
        <v>19</v>
      </c>
      <c r="Q3" s="52" t="s">
        <v>20</v>
      </c>
      <c r="R3" s="51" t="s">
        <v>21</v>
      </c>
      <c r="S3" s="49" t="s">
        <v>22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s="10" customFormat="1" ht="30" customHeight="1" x14ac:dyDescent="0.3">
      <c r="A4" s="9"/>
      <c r="B4" s="37" t="s">
        <v>23</v>
      </c>
      <c r="C4" s="37" t="s">
        <v>24</v>
      </c>
      <c r="D4" s="37"/>
      <c r="E4" s="57"/>
      <c r="F4" s="57"/>
      <c r="G4" s="58"/>
      <c r="H4" s="59"/>
      <c r="I4" s="60"/>
      <c r="J4" s="60"/>
      <c r="K4" s="60"/>
      <c r="L4" s="60"/>
      <c r="M4" s="60"/>
      <c r="N4" s="60"/>
      <c r="O4" s="60"/>
      <c r="P4" s="61"/>
      <c r="Q4" s="62"/>
      <c r="R4" s="63"/>
      <c r="S4" s="63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s="10" customFormat="1" ht="60" customHeight="1" x14ac:dyDescent="0.3">
      <c r="A5" s="9"/>
      <c r="B5" s="38" t="s">
        <v>25</v>
      </c>
      <c r="C5" s="38" t="s">
        <v>26</v>
      </c>
      <c r="D5" s="16" t="s">
        <v>76</v>
      </c>
      <c r="E5" s="73">
        <v>46300</v>
      </c>
      <c r="F5" s="73" t="str">
        <f>IF(ISNUMBER('Registro real'!C2),'Registro real'!C2,"")</f>
        <v/>
      </c>
      <c r="G5" s="74">
        <v>46310</v>
      </c>
      <c r="H5" s="64">
        <f>SUM('Detalle de esfuerzo'!C2,'Detalle de esfuerzo'!C3,'Detalle de esfuerzo'!C4)</f>
        <v>9</v>
      </c>
      <c r="I5" s="44">
        <v>15000</v>
      </c>
      <c r="J5" s="65">
        <f t="shared" ref="J5:J13" si="0">H5*I5</f>
        <v>135000</v>
      </c>
      <c r="K5" s="43">
        <v>0</v>
      </c>
      <c r="L5" s="44">
        <v>0</v>
      </c>
      <c r="M5" s="65">
        <f t="shared" ref="M5:M13" si="1">K5*L5</f>
        <v>0</v>
      </c>
      <c r="N5" s="45">
        <v>0</v>
      </c>
      <c r="O5" s="45">
        <v>0</v>
      </c>
      <c r="P5" s="66">
        <v>0</v>
      </c>
      <c r="Q5" s="67">
        <f t="shared" ref="Q5:Q13" si="2">SUM(J5,M5:P5)</f>
        <v>135000</v>
      </c>
      <c r="R5" s="68" t="str">
        <f>IF(ISNUMBER('Registro real'!D2),'Registro real'!D2,"")</f>
        <v/>
      </c>
      <c r="S5" s="69" t="str">
        <f t="shared" ref="S5:S14" si="3">IF(ISNUMBER(R5),R5-Q5,"")</f>
        <v/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s="10" customFormat="1" ht="60" customHeight="1" x14ac:dyDescent="0.3">
      <c r="A6" s="9"/>
      <c r="B6" s="38" t="s">
        <v>28</v>
      </c>
      <c r="C6" s="38" t="s">
        <v>29</v>
      </c>
      <c r="D6" s="16" t="s">
        <v>76</v>
      </c>
      <c r="E6" s="73">
        <v>46310</v>
      </c>
      <c r="F6" s="73" t="str">
        <f>IF(ISNUMBER('Registro real'!C3),'Registro real'!C3,"")</f>
        <v/>
      </c>
      <c r="G6" s="74">
        <v>46313</v>
      </c>
      <c r="H6" s="64">
        <f>SUM('Detalle de esfuerzo'!C5)</f>
        <v>6</v>
      </c>
      <c r="I6" s="44">
        <v>15000</v>
      </c>
      <c r="J6" s="65">
        <f t="shared" si="0"/>
        <v>90000</v>
      </c>
      <c r="K6" s="43">
        <v>0</v>
      </c>
      <c r="L6" s="44">
        <v>0</v>
      </c>
      <c r="M6" s="65">
        <f t="shared" si="1"/>
        <v>0</v>
      </c>
      <c r="N6" s="45">
        <v>0</v>
      </c>
      <c r="O6" s="45">
        <v>0</v>
      </c>
      <c r="P6" s="66">
        <v>0</v>
      </c>
      <c r="Q6" s="67">
        <f t="shared" si="2"/>
        <v>90000</v>
      </c>
      <c r="R6" s="68" t="str">
        <f>IF(ISNUMBER('Registro real'!D3),'Registro real'!D3,"")</f>
        <v/>
      </c>
      <c r="S6" s="69" t="str">
        <f t="shared" si="3"/>
        <v/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s="10" customFormat="1" ht="60" customHeight="1" x14ac:dyDescent="0.3">
      <c r="A7" s="9"/>
      <c r="B7" s="38" t="s">
        <v>30</v>
      </c>
      <c r="C7" s="38" t="s">
        <v>31</v>
      </c>
      <c r="D7" s="16" t="s">
        <v>76</v>
      </c>
      <c r="E7" s="73">
        <v>46314</v>
      </c>
      <c r="F7" s="73" t="str">
        <f>IF(ISNUMBER('Registro real'!C4),'Registro real'!C4,"")</f>
        <v/>
      </c>
      <c r="G7" s="74">
        <v>46318</v>
      </c>
      <c r="H7" s="64">
        <f>SUM('Detalle de esfuerzo'!C6,'Detalle de esfuerzo'!C7)</f>
        <v>7</v>
      </c>
      <c r="I7" s="44">
        <v>15000</v>
      </c>
      <c r="J7" s="65">
        <f t="shared" si="0"/>
        <v>105000</v>
      </c>
      <c r="K7" s="43">
        <v>0</v>
      </c>
      <c r="L7" s="44">
        <v>0</v>
      </c>
      <c r="M7" s="65">
        <f t="shared" si="1"/>
        <v>0</v>
      </c>
      <c r="N7" s="45">
        <v>0</v>
      </c>
      <c r="O7" s="45">
        <v>0</v>
      </c>
      <c r="P7" s="66">
        <v>0</v>
      </c>
      <c r="Q7" s="67">
        <f t="shared" si="2"/>
        <v>105000</v>
      </c>
      <c r="R7" s="68" t="str">
        <f>IF(ISNUMBER('Registro real'!D4),'Registro real'!D4,"")</f>
        <v/>
      </c>
      <c r="S7" s="69" t="str">
        <f t="shared" si="3"/>
        <v/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10" customFormat="1" ht="60" customHeight="1" x14ac:dyDescent="0.3">
      <c r="A8" s="9"/>
      <c r="B8" s="38" t="s">
        <v>32</v>
      </c>
      <c r="C8" s="38" t="s">
        <v>33</v>
      </c>
      <c r="D8" s="16" t="s">
        <v>76</v>
      </c>
      <c r="E8" s="73">
        <v>46319</v>
      </c>
      <c r="F8" s="73" t="str">
        <f>IF(ISNUMBER('Registro real'!C5),'Registro real'!C5,"")</f>
        <v/>
      </c>
      <c r="G8" s="74">
        <v>46332</v>
      </c>
      <c r="H8" s="64">
        <f>SUM('Detalle de esfuerzo'!C8,'Detalle de esfuerzo'!C12)</f>
        <v>9</v>
      </c>
      <c r="I8" s="44">
        <v>15000</v>
      </c>
      <c r="J8" s="65">
        <f t="shared" si="0"/>
        <v>135000</v>
      </c>
      <c r="K8" s="43">
        <v>0</v>
      </c>
      <c r="L8" s="44">
        <v>0</v>
      </c>
      <c r="M8" s="65">
        <f t="shared" si="1"/>
        <v>0</v>
      </c>
      <c r="N8" s="45">
        <v>0</v>
      </c>
      <c r="O8" s="45">
        <v>0</v>
      </c>
      <c r="P8" s="66">
        <v>0</v>
      </c>
      <c r="Q8" s="67">
        <f t="shared" si="2"/>
        <v>135000</v>
      </c>
      <c r="R8" s="68" t="str">
        <f>IF(ISNUMBER('Registro real'!D5),'Registro real'!D5,"")</f>
        <v/>
      </c>
      <c r="S8" s="69" t="str">
        <f t="shared" si="3"/>
        <v/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s="10" customFormat="1" ht="60" customHeight="1" x14ac:dyDescent="0.3">
      <c r="A9" s="9"/>
      <c r="B9" s="38" t="s">
        <v>34</v>
      </c>
      <c r="C9" s="38" t="s">
        <v>35</v>
      </c>
      <c r="D9" s="16" t="s">
        <v>76</v>
      </c>
      <c r="E9" s="73">
        <v>46322</v>
      </c>
      <c r="F9" s="73" t="str">
        <f>IF(ISNUMBER('Registro real'!C6),'Registro real'!C6,"")</f>
        <v/>
      </c>
      <c r="G9" s="74">
        <v>46327</v>
      </c>
      <c r="H9" s="64">
        <f>SUM('Detalle de esfuerzo'!C9,'Detalle de esfuerzo'!C10)</f>
        <v>9</v>
      </c>
      <c r="I9" s="44">
        <v>15000</v>
      </c>
      <c r="J9" s="65">
        <f t="shared" si="0"/>
        <v>135000</v>
      </c>
      <c r="K9" s="43">
        <v>0</v>
      </c>
      <c r="L9" s="44">
        <v>0</v>
      </c>
      <c r="M9" s="65">
        <f t="shared" si="1"/>
        <v>0</v>
      </c>
      <c r="N9" s="45">
        <v>0</v>
      </c>
      <c r="O9" s="45">
        <v>0</v>
      </c>
      <c r="P9" s="66">
        <v>0</v>
      </c>
      <c r="Q9" s="67">
        <f t="shared" si="2"/>
        <v>135000</v>
      </c>
      <c r="R9" s="68" t="str">
        <f>IF(ISNUMBER('Registro real'!D6),'Registro real'!D6,"")</f>
        <v/>
      </c>
      <c r="S9" s="69" t="str">
        <f t="shared" si="3"/>
        <v/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s="10" customFormat="1" ht="60" customHeight="1" x14ac:dyDescent="0.3">
      <c r="A10" s="9"/>
      <c r="B10" s="38" t="s">
        <v>36</v>
      </c>
      <c r="C10" s="38" t="s">
        <v>37</v>
      </c>
      <c r="D10" s="16" t="s">
        <v>76</v>
      </c>
      <c r="E10" s="73">
        <v>46328</v>
      </c>
      <c r="F10" s="73" t="str">
        <f>IF(ISNUMBER('Registro real'!C7),'Registro real'!C7,"")</f>
        <v/>
      </c>
      <c r="G10" s="74">
        <v>46329</v>
      </c>
      <c r="H10" s="64">
        <f>SUM('Detalle de esfuerzo'!C11)</f>
        <v>4</v>
      </c>
      <c r="I10" s="44">
        <v>15000</v>
      </c>
      <c r="J10" s="65">
        <f t="shared" si="0"/>
        <v>60000</v>
      </c>
      <c r="K10" s="43">
        <v>0</v>
      </c>
      <c r="L10" s="44">
        <v>0</v>
      </c>
      <c r="M10" s="65">
        <f t="shared" si="1"/>
        <v>0</v>
      </c>
      <c r="N10" s="45">
        <v>0</v>
      </c>
      <c r="O10" s="45">
        <v>0</v>
      </c>
      <c r="P10" s="66">
        <v>0</v>
      </c>
      <c r="Q10" s="67">
        <f t="shared" si="2"/>
        <v>60000</v>
      </c>
      <c r="R10" s="68" t="str">
        <f>IF(ISNUMBER('Registro real'!D7),'Registro real'!D7,"")</f>
        <v/>
      </c>
      <c r="S10" s="69" t="str">
        <f t="shared" si="3"/>
        <v/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s="10" customFormat="1" ht="60" customHeight="1" x14ac:dyDescent="0.3">
      <c r="A11" s="9"/>
      <c r="B11" s="38" t="s">
        <v>38</v>
      </c>
      <c r="C11" s="38" t="s">
        <v>39</v>
      </c>
      <c r="D11" s="16" t="s">
        <v>76</v>
      </c>
      <c r="E11" s="73">
        <v>46335</v>
      </c>
      <c r="F11" s="73" t="str">
        <f>IF(ISNUMBER('Registro real'!C8),'Registro real'!C8,"")</f>
        <v/>
      </c>
      <c r="G11" s="74">
        <v>46337</v>
      </c>
      <c r="H11" s="64">
        <f>SUM('Detalle de esfuerzo'!C14,'Detalle de esfuerzo'!C15)</f>
        <v>5</v>
      </c>
      <c r="I11" s="44">
        <v>15000</v>
      </c>
      <c r="J11" s="65">
        <f t="shared" si="0"/>
        <v>75000</v>
      </c>
      <c r="K11" s="43">
        <v>0</v>
      </c>
      <c r="L11" s="44">
        <v>0</v>
      </c>
      <c r="M11" s="65">
        <f t="shared" si="1"/>
        <v>0</v>
      </c>
      <c r="N11" s="45">
        <v>0</v>
      </c>
      <c r="O11" s="45">
        <v>0</v>
      </c>
      <c r="P11" s="66">
        <v>0</v>
      </c>
      <c r="Q11" s="67">
        <f t="shared" si="2"/>
        <v>75000</v>
      </c>
      <c r="R11" s="68" t="str">
        <f>IF(ISNUMBER('Registro real'!D8),'Registro real'!D8,"")</f>
        <v/>
      </c>
      <c r="S11" s="69" t="str">
        <f t="shared" si="3"/>
        <v/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s="10" customFormat="1" ht="60" customHeight="1" x14ac:dyDescent="0.3">
      <c r="A12" s="9"/>
      <c r="B12" s="38" t="s">
        <v>40</v>
      </c>
      <c r="C12" s="38" t="s">
        <v>41</v>
      </c>
      <c r="D12" s="16" t="s">
        <v>76</v>
      </c>
      <c r="E12" s="73">
        <v>46338</v>
      </c>
      <c r="F12" s="73" t="str">
        <f>IF(ISNUMBER('Registro real'!C9),'Registro real'!C9,"")</f>
        <v/>
      </c>
      <c r="G12" s="74">
        <v>46346</v>
      </c>
      <c r="H12" s="64">
        <f>SUM('Detalle de esfuerzo'!C16,'Detalle de esfuerzo'!C17,'Detalle de esfuerzo'!C18,'Detalle de esfuerzo'!C19,'Detalle de esfuerzo'!C20)</f>
        <v>16</v>
      </c>
      <c r="I12" s="44">
        <v>15000</v>
      </c>
      <c r="J12" s="65">
        <f t="shared" si="0"/>
        <v>240000</v>
      </c>
      <c r="K12" s="43">
        <v>0</v>
      </c>
      <c r="L12" s="44">
        <v>0</v>
      </c>
      <c r="M12" s="65">
        <f t="shared" si="1"/>
        <v>0</v>
      </c>
      <c r="N12" s="45">
        <v>0</v>
      </c>
      <c r="O12" s="45">
        <v>0</v>
      </c>
      <c r="P12" s="66">
        <v>0</v>
      </c>
      <c r="Q12" s="67">
        <f t="shared" si="2"/>
        <v>240000</v>
      </c>
      <c r="R12" s="68" t="str">
        <f>IF(ISNUMBER('Registro real'!D9),'Registro real'!D9,"")</f>
        <v/>
      </c>
      <c r="S12" s="69" t="str">
        <f t="shared" si="3"/>
        <v/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s="10" customFormat="1" ht="60" customHeight="1" x14ac:dyDescent="0.3">
      <c r="A13" s="9"/>
      <c r="B13" s="38" t="s">
        <v>42</v>
      </c>
      <c r="C13" s="38" t="s">
        <v>43</v>
      </c>
      <c r="D13" s="16" t="s">
        <v>48</v>
      </c>
      <c r="E13" s="73">
        <v>46333</v>
      </c>
      <c r="F13" s="73" t="str">
        <f>IF(ISNUMBER('Registro real'!C10),'Registro real'!C10,"")</f>
        <v/>
      </c>
      <c r="G13" s="74">
        <v>46348</v>
      </c>
      <c r="H13" s="64">
        <f>SUM('Detalle de esfuerzo'!C13,'Detalle de esfuerzo'!C21,'Detalle de esfuerzo'!C22)</f>
        <v>8</v>
      </c>
      <c r="I13" s="44">
        <v>15000</v>
      </c>
      <c r="J13" s="65">
        <f t="shared" si="0"/>
        <v>120000</v>
      </c>
      <c r="K13" s="43">
        <v>0</v>
      </c>
      <c r="L13" s="44">
        <v>0</v>
      </c>
      <c r="M13" s="65">
        <f t="shared" si="1"/>
        <v>0</v>
      </c>
      <c r="N13" s="45">
        <v>0</v>
      </c>
      <c r="O13" s="45">
        <v>0</v>
      </c>
      <c r="P13" s="66">
        <v>0</v>
      </c>
      <c r="Q13" s="67">
        <f t="shared" si="2"/>
        <v>120000</v>
      </c>
      <c r="R13" s="68" t="str">
        <f>IF(ISNUMBER('Registro real'!D10),'Registro real'!D10,"")</f>
        <v/>
      </c>
      <c r="S13" s="69" t="str">
        <f t="shared" si="3"/>
        <v/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s="10" customFormat="1" ht="30" customHeight="1" x14ac:dyDescent="0.3">
      <c r="A14" s="9"/>
      <c r="B14" s="21" t="s">
        <v>44</v>
      </c>
      <c r="C14" s="21"/>
      <c r="D14" s="39"/>
      <c r="E14" s="22"/>
      <c r="F14" s="22"/>
      <c r="G14" s="56"/>
      <c r="H14" s="79">
        <f>SUM(H5:H13)</f>
        <v>73</v>
      </c>
      <c r="I14" s="40"/>
      <c r="J14" s="42">
        <f>SUM(J5:J13)</f>
        <v>1095000</v>
      </c>
      <c r="K14" s="42"/>
      <c r="L14" s="42"/>
      <c r="M14" s="42">
        <f>SUM(M5:M13)</f>
        <v>0</v>
      </c>
      <c r="N14" s="42">
        <f>SUM(N5:N13)</f>
        <v>0</v>
      </c>
      <c r="O14" s="42">
        <f>SUM(O5:O13)</f>
        <v>0</v>
      </c>
      <c r="P14" s="47">
        <f>SUM(P5:P13)</f>
        <v>0</v>
      </c>
      <c r="Q14" s="53">
        <f>SUM(Q5:Q13)</f>
        <v>1095000</v>
      </c>
      <c r="R14" s="50" t="str">
        <f>IF(COUNT(R5:R13)=ROWS(R5:R13),SUM(R5:R13),"")</f>
        <v/>
      </c>
      <c r="S14" s="50" t="str">
        <f t="shared" si="3"/>
        <v/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s="10" customFormat="1" ht="11.1" customHeight="1" thickBot="1" x14ac:dyDescent="0.35">
      <c r="A15" s="9"/>
      <c r="B15" s="11"/>
      <c r="C15" s="11"/>
      <c r="D15" s="11"/>
      <c r="E15" s="11"/>
      <c r="F15" s="11"/>
      <c r="G15" s="11"/>
      <c r="H15" s="12"/>
      <c r="I15" s="13"/>
      <c r="J15" s="13"/>
      <c r="K15" s="12"/>
      <c r="L15" s="13"/>
      <c r="M15" s="13"/>
      <c r="N15" s="12"/>
      <c r="O15" s="12"/>
      <c r="P15" s="13"/>
      <c r="Q15" s="14"/>
      <c r="R15" s="13"/>
      <c r="S15" s="15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s="10" customFormat="1" ht="35.1" customHeight="1" x14ac:dyDescent="0.3">
      <c r="A16" s="9"/>
      <c r="B16" s="41" t="s">
        <v>0</v>
      </c>
      <c r="C16" s="41"/>
      <c r="D16" s="41"/>
      <c r="E16" s="41"/>
      <c r="F16" s="41"/>
      <c r="G16" s="54"/>
      <c r="H16" s="83" t="s">
        <v>1</v>
      </c>
      <c r="I16" s="81"/>
      <c r="J16" s="84"/>
      <c r="K16" s="85" t="s">
        <v>2</v>
      </c>
      <c r="L16" s="81"/>
      <c r="M16" s="84"/>
      <c r="N16" s="86" t="s">
        <v>3</v>
      </c>
      <c r="O16" s="81"/>
      <c r="P16" s="87"/>
      <c r="Q16" s="80" t="s">
        <v>4</v>
      </c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s="10" customFormat="1" ht="35.1" customHeight="1" x14ac:dyDescent="0.3">
      <c r="A17" s="9"/>
      <c r="B17" s="36" t="s">
        <v>5</v>
      </c>
      <c r="C17" s="36" t="s">
        <v>6</v>
      </c>
      <c r="D17" s="36" t="s">
        <v>7</v>
      </c>
      <c r="E17" s="19" t="s">
        <v>8</v>
      </c>
      <c r="F17" s="19" t="s">
        <v>9</v>
      </c>
      <c r="G17" s="55" t="s">
        <v>10</v>
      </c>
      <c r="H17" s="48" t="s">
        <v>11</v>
      </c>
      <c r="I17" s="20" t="s">
        <v>12</v>
      </c>
      <c r="J17" s="20" t="s">
        <v>13</v>
      </c>
      <c r="K17" s="19" t="s">
        <v>14</v>
      </c>
      <c r="L17" s="19" t="s">
        <v>15</v>
      </c>
      <c r="M17" s="19" t="s">
        <v>16</v>
      </c>
      <c r="N17" s="19" t="s">
        <v>17</v>
      </c>
      <c r="O17" s="19" t="s">
        <v>18</v>
      </c>
      <c r="P17" s="46" t="s">
        <v>19</v>
      </c>
      <c r="Q17" s="52" t="s">
        <v>20</v>
      </c>
      <c r="R17" s="51" t="s">
        <v>21</v>
      </c>
      <c r="S17" s="49" t="s">
        <v>22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s="10" customFormat="1" ht="30" customHeight="1" x14ac:dyDescent="0.3">
      <c r="A18" s="9"/>
      <c r="B18" s="37" t="s">
        <v>23</v>
      </c>
      <c r="C18" s="37" t="s">
        <v>45</v>
      </c>
      <c r="D18" s="37"/>
      <c r="E18" s="57"/>
      <c r="F18" s="57"/>
      <c r="G18" s="58"/>
      <c r="H18" s="59"/>
      <c r="I18" s="60"/>
      <c r="J18" s="60"/>
      <c r="K18" s="60"/>
      <c r="L18" s="60"/>
      <c r="M18" s="60"/>
      <c r="N18" s="60"/>
      <c r="O18" s="60"/>
      <c r="P18" s="61"/>
      <c r="Q18" s="62"/>
      <c r="R18" s="63"/>
      <c r="S18" s="6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s="10" customFormat="1" ht="60" customHeight="1" x14ac:dyDescent="0.3">
      <c r="A19" s="9"/>
      <c r="B19" s="38" t="s">
        <v>46</v>
      </c>
      <c r="C19" s="38" t="s">
        <v>47</v>
      </c>
      <c r="D19" s="16" t="s">
        <v>76</v>
      </c>
      <c r="E19" s="73">
        <v>46237</v>
      </c>
      <c r="F19" s="73" t="str">
        <f>IF(ISNUMBER('Registro real'!C11),'Registro real'!C11,"")</f>
        <v/>
      </c>
      <c r="G19" s="74">
        <v>46348</v>
      </c>
      <c r="H19" s="64">
        <f>SUM('Detalle de esfuerzo'!C23)</f>
        <v>20</v>
      </c>
      <c r="I19" s="44">
        <v>15000</v>
      </c>
      <c r="J19" s="65">
        <f t="shared" ref="J19:J27" si="4">H19*I19</f>
        <v>300000</v>
      </c>
      <c r="K19" s="43">
        <v>0</v>
      </c>
      <c r="L19" s="44">
        <v>0</v>
      </c>
      <c r="M19" s="65">
        <f t="shared" ref="M19:M27" si="5">K19*L19</f>
        <v>0</v>
      </c>
      <c r="N19" s="45">
        <v>0</v>
      </c>
      <c r="O19" s="45">
        <v>0</v>
      </c>
      <c r="P19" s="66">
        <v>0</v>
      </c>
      <c r="Q19" s="67">
        <f t="shared" ref="Q19:Q27" si="6">SUM(J19,M19:P19)</f>
        <v>300000</v>
      </c>
      <c r="R19" s="68" t="str">
        <f>IF(ISNUMBER('Registro real'!D11),'Registro real'!D11,"")</f>
        <v/>
      </c>
      <c r="S19" s="69" t="str">
        <f t="shared" ref="S19:S28" si="7">IF(ISNUMBER(R19),R19-Q19,"")</f>
        <v/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s="10" customFormat="1" ht="60" customHeight="1" x14ac:dyDescent="0.3">
      <c r="A20" s="9"/>
      <c r="B20" s="38" t="s">
        <v>49</v>
      </c>
      <c r="C20" s="38" t="s">
        <v>50</v>
      </c>
      <c r="D20" s="16" t="s">
        <v>76</v>
      </c>
      <c r="E20" s="73">
        <v>46279</v>
      </c>
      <c r="F20" s="73" t="str">
        <f>IF(ISNUMBER('Registro real'!C12),'Registro real'!C12,"")</f>
        <v/>
      </c>
      <c r="G20" s="74">
        <v>46337</v>
      </c>
      <c r="H20" s="64">
        <f>SUM('Detalle de esfuerzo'!C24)</f>
        <v>16</v>
      </c>
      <c r="I20" s="44">
        <v>15000</v>
      </c>
      <c r="J20" s="65">
        <f t="shared" si="4"/>
        <v>240000</v>
      </c>
      <c r="K20" s="43">
        <v>0</v>
      </c>
      <c r="L20" s="44">
        <v>0</v>
      </c>
      <c r="M20" s="65">
        <f t="shared" si="5"/>
        <v>0</v>
      </c>
      <c r="N20" s="45">
        <v>0</v>
      </c>
      <c r="O20" s="45">
        <v>0</v>
      </c>
      <c r="P20" s="66">
        <v>0</v>
      </c>
      <c r="Q20" s="67">
        <f t="shared" si="6"/>
        <v>240000</v>
      </c>
      <c r="R20" s="68" t="str">
        <f>IF(ISNUMBER('Registro real'!D12),'Registro real'!D12,"")</f>
        <v/>
      </c>
      <c r="S20" s="69" t="str">
        <f t="shared" si="7"/>
        <v/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s="10" customFormat="1" ht="60" customHeight="1" x14ac:dyDescent="0.3">
      <c r="A21" s="9"/>
      <c r="B21" s="38" t="s">
        <v>51</v>
      </c>
      <c r="C21" s="38" t="s">
        <v>52</v>
      </c>
      <c r="D21" s="16" t="s">
        <v>48</v>
      </c>
      <c r="E21" s="73">
        <v>46342</v>
      </c>
      <c r="F21" s="73" t="str">
        <f>IF(ISNUMBER('Registro real'!C13),'Registro real'!C13,"")</f>
        <v/>
      </c>
      <c r="G21" s="74">
        <v>46348</v>
      </c>
      <c r="H21" s="64">
        <f>SUM('Detalle de esfuerzo'!C25)</f>
        <v>11</v>
      </c>
      <c r="I21" s="44">
        <v>15000</v>
      </c>
      <c r="J21" s="65">
        <f t="shared" si="4"/>
        <v>165000</v>
      </c>
      <c r="K21" s="43">
        <v>0</v>
      </c>
      <c r="L21" s="44">
        <v>0</v>
      </c>
      <c r="M21" s="65">
        <f t="shared" si="5"/>
        <v>0</v>
      </c>
      <c r="N21" s="45">
        <v>0</v>
      </c>
      <c r="O21" s="45">
        <v>0</v>
      </c>
      <c r="P21" s="66">
        <v>0</v>
      </c>
      <c r="Q21" s="67">
        <f t="shared" si="6"/>
        <v>165000</v>
      </c>
      <c r="R21" s="68" t="str">
        <f>IF(ISNUMBER('Registro real'!D13),'Registro real'!D13,"")</f>
        <v/>
      </c>
      <c r="S21" s="69" t="str">
        <f t="shared" si="7"/>
        <v/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s="10" customFormat="1" ht="60" customHeight="1" x14ac:dyDescent="0.3">
      <c r="A22" s="9"/>
      <c r="B22" s="38" t="s">
        <v>53</v>
      </c>
      <c r="C22" s="38" t="s">
        <v>54</v>
      </c>
      <c r="D22" s="16" t="s">
        <v>48</v>
      </c>
      <c r="E22" s="73">
        <v>46237</v>
      </c>
      <c r="F22" s="73" t="str">
        <f>IF(ISNUMBER('Registro real'!C14),'Registro real'!C14,"")</f>
        <v/>
      </c>
      <c r="G22" s="74">
        <v>46348</v>
      </c>
      <c r="H22" s="64">
        <v>0</v>
      </c>
      <c r="I22" s="44">
        <v>0</v>
      </c>
      <c r="J22" s="65">
        <f t="shared" si="4"/>
        <v>0</v>
      </c>
      <c r="K22" s="43">
        <v>0</v>
      </c>
      <c r="L22" s="44">
        <v>0</v>
      </c>
      <c r="M22" s="65">
        <f t="shared" si="5"/>
        <v>0</v>
      </c>
      <c r="N22" s="45">
        <v>0</v>
      </c>
      <c r="O22" s="45">
        <v>0</v>
      </c>
      <c r="P22" s="66">
        <v>100000</v>
      </c>
      <c r="Q22" s="67">
        <f t="shared" si="6"/>
        <v>100000</v>
      </c>
      <c r="R22" s="68" t="str">
        <f>IF(ISNUMBER('Registro real'!D14),'Registro real'!D14,"")</f>
        <v/>
      </c>
      <c r="S22" s="69" t="str">
        <f t="shared" si="7"/>
        <v/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s="10" customFormat="1" ht="60" customHeight="1" x14ac:dyDescent="0.3">
      <c r="A23" s="9"/>
      <c r="B23" s="38" t="s">
        <v>56</v>
      </c>
      <c r="C23" s="38" t="s">
        <v>57</v>
      </c>
      <c r="D23" s="16" t="s">
        <v>55</v>
      </c>
      <c r="E23" s="73">
        <v>46237</v>
      </c>
      <c r="F23" s="73" t="str">
        <f>IF(ISNUMBER('Registro real'!C15),'Registro real'!C15,"")</f>
        <v/>
      </c>
      <c r="G23" s="74">
        <v>46348</v>
      </c>
      <c r="H23" s="64">
        <v>0</v>
      </c>
      <c r="I23" s="44">
        <v>0</v>
      </c>
      <c r="J23" s="65">
        <f t="shared" si="4"/>
        <v>0</v>
      </c>
      <c r="K23" s="43">
        <v>0</v>
      </c>
      <c r="L23" s="44">
        <v>0</v>
      </c>
      <c r="M23" s="65">
        <f t="shared" si="5"/>
        <v>0</v>
      </c>
      <c r="N23" s="45">
        <v>0</v>
      </c>
      <c r="O23" s="45">
        <v>0</v>
      </c>
      <c r="P23" s="66">
        <v>50000</v>
      </c>
      <c r="Q23" s="67">
        <f t="shared" si="6"/>
        <v>50000</v>
      </c>
      <c r="R23" s="68" t="str">
        <f>IF(ISNUMBER('Registro real'!D15),'Registro real'!D15,"")</f>
        <v/>
      </c>
      <c r="S23" s="69" t="str">
        <f t="shared" si="7"/>
        <v/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s="10" customFormat="1" ht="60" customHeight="1" x14ac:dyDescent="0.3">
      <c r="A24" s="9"/>
      <c r="B24" s="38" t="s">
        <v>58</v>
      </c>
      <c r="C24" s="38" t="s">
        <v>59</v>
      </c>
      <c r="D24" s="16" t="s">
        <v>48</v>
      </c>
      <c r="E24" s="73">
        <v>46237</v>
      </c>
      <c r="F24" s="73" t="str">
        <f>IF(ISNUMBER('Registro real'!C16),'Registro real'!C16,"")</f>
        <v/>
      </c>
      <c r="G24" s="74">
        <v>46348</v>
      </c>
      <c r="H24" s="64">
        <v>0</v>
      </c>
      <c r="I24" s="44">
        <v>0</v>
      </c>
      <c r="J24" s="65">
        <f t="shared" si="4"/>
        <v>0</v>
      </c>
      <c r="K24" s="43">
        <v>0</v>
      </c>
      <c r="L24" s="44">
        <v>0</v>
      </c>
      <c r="M24" s="65">
        <f t="shared" si="5"/>
        <v>0</v>
      </c>
      <c r="N24" s="45">
        <v>0</v>
      </c>
      <c r="O24" s="45">
        <v>0</v>
      </c>
      <c r="P24" s="66">
        <v>0</v>
      </c>
      <c r="Q24" s="67">
        <f t="shared" si="6"/>
        <v>0</v>
      </c>
      <c r="R24" s="68" t="str">
        <f>IF(ISNUMBER('Registro real'!D16),'Registro real'!D16,"")</f>
        <v/>
      </c>
      <c r="S24" s="69" t="str">
        <f t="shared" si="7"/>
        <v/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s="10" customFormat="1" ht="60" customHeight="1" x14ac:dyDescent="0.3">
      <c r="A25" s="9"/>
      <c r="B25" s="38" t="s">
        <v>60</v>
      </c>
      <c r="C25" s="38" t="s">
        <v>61</v>
      </c>
      <c r="D25" s="16" t="s">
        <v>48</v>
      </c>
      <c r="E25" s="73">
        <v>46300</v>
      </c>
      <c r="F25" s="73" t="str">
        <f>IF(ISNUMBER('Registro real'!C17),'Registro real'!C17,"")</f>
        <v/>
      </c>
      <c r="G25" s="74">
        <v>46348</v>
      </c>
      <c r="H25" s="64">
        <v>0</v>
      </c>
      <c r="I25" s="44">
        <v>0</v>
      </c>
      <c r="J25" s="65">
        <f t="shared" si="4"/>
        <v>0</v>
      </c>
      <c r="K25" s="43">
        <v>0</v>
      </c>
      <c r="L25" s="44">
        <v>0</v>
      </c>
      <c r="M25" s="65">
        <f t="shared" si="5"/>
        <v>0</v>
      </c>
      <c r="N25" s="45">
        <v>0</v>
      </c>
      <c r="O25" s="45">
        <v>0</v>
      </c>
      <c r="P25" s="66">
        <v>0</v>
      </c>
      <c r="Q25" s="67">
        <f t="shared" si="6"/>
        <v>0</v>
      </c>
      <c r="R25" s="68" t="str">
        <f>IF(ISNUMBER('Registro real'!D17),'Registro real'!D17,"")</f>
        <v/>
      </c>
      <c r="S25" s="69" t="str">
        <f t="shared" si="7"/>
        <v/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s="10" customFormat="1" ht="60" customHeight="1" x14ac:dyDescent="0.3">
      <c r="A26" s="9"/>
      <c r="B26" s="38" t="s">
        <v>62</v>
      </c>
      <c r="C26" s="38" t="s">
        <v>63</v>
      </c>
      <c r="D26" s="16" t="s">
        <v>48</v>
      </c>
      <c r="E26" s="73">
        <v>46300</v>
      </c>
      <c r="F26" s="73" t="str">
        <f>IF(ISNUMBER('Registro real'!C18),'Registro real'!C18,"")</f>
        <v/>
      </c>
      <c r="G26" s="74">
        <v>46348</v>
      </c>
      <c r="H26" s="64">
        <v>0</v>
      </c>
      <c r="I26" s="44">
        <v>0</v>
      </c>
      <c r="J26" s="65">
        <f t="shared" si="4"/>
        <v>0</v>
      </c>
      <c r="K26" s="43">
        <v>0</v>
      </c>
      <c r="L26" s="44">
        <v>0</v>
      </c>
      <c r="M26" s="65">
        <f t="shared" si="5"/>
        <v>0</v>
      </c>
      <c r="N26" s="45">
        <v>0</v>
      </c>
      <c r="O26" s="45">
        <v>0</v>
      </c>
      <c r="P26" s="66">
        <v>0</v>
      </c>
      <c r="Q26" s="67">
        <f t="shared" si="6"/>
        <v>0</v>
      </c>
      <c r="R26" s="68" t="str">
        <f>IF(ISNUMBER('Registro real'!D18),'Registro real'!D18,"")</f>
        <v/>
      </c>
      <c r="S26" s="69" t="str">
        <f t="shared" si="7"/>
        <v/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s="10" customFormat="1" ht="60" customHeight="1" x14ac:dyDescent="0.3">
      <c r="A27" s="9"/>
      <c r="B27" s="38" t="s">
        <v>64</v>
      </c>
      <c r="C27" s="38" t="s">
        <v>65</v>
      </c>
      <c r="D27" s="16" t="s">
        <v>55</v>
      </c>
      <c r="E27" s="73">
        <v>46237</v>
      </c>
      <c r="F27" s="73" t="str">
        <f>IF(ISNUMBER('Registro real'!C19),'Registro real'!C19,"")</f>
        <v/>
      </c>
      <c r="G27" s="74">
        <v>46348</v>
      </c>
      <c r="H27" s="64">
        <v>0</v>
      </c>
      <c r="I27" s="44">
        <v>0</v>
      </c>
      <c r="J27" s="65">
        <f t="shared" si="4"/>
        <v>0</v>
      </c>
      <c r="K27" s="43">
        <v>0</v>
      </c>
      <c r="L27" s="44">
        <v>0</v>
      </c>
      <c r="M27" s="65">
        <f t="shared" si="5"/>
        <v>0</v>
      </c>
      <c r="N27" s="45">
        <v>0</v>
      </c>
      <c r="O27" s="45">
        <v>0</v>
      </c>
      <c r="P27" s="66">
        <v>0</v>
      </c>
      <c r="Q27" s="67">
        <f t="shared" si="6"/>
        <v>0</v>
      </c>
      <c r="R27" s="68" t="str">
        <f>IF(ISNUMBER('Registro real'!D19),'Registro real'!D19,"")</f>
        <v/>
      </c>
      <c r="S27" s="69" t="str">
        <f t="shared" si="7"/>
        <v/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s="10" customFormat="1" ht="30" customHeight="1" x14ac:dyDescent="0.3">
      <c r="A28" s="9"/>
      <c r="B28" s="21" t="s">
        <v>44</v>
      </c>
      <c r="C28" s="21"/>
      <c r="D28" s="39"/>
      <c r="E28" s="22"/>
      <c r="F28" s="22"/>
      <c r="G28" s="56"/>
      <c r="H28" s="79">
        <f>SUM(H19:H27)</f>
        <v>47</v>
      </c>
      <c r="I28" s="40"/>
      <c r="J28" s="42">
        <f>SUM(J19:J27)</f>
        <v>705000</v>
      </c>
      <c r="K28" s="42"/>
      <c r="L28" s="42"/>
      <c r="M28" s="42">
        <f>SUM(M19:M27)</f>
        <v>0</v>
      </c>
      <c r="N28" s="42">
        <f>SUM(N19:N27)</f>
        <v>0</v>
      </c>
      <c r="O28" s="42">
        <f>SUM(O19:O27)</f>
        <v>0</v>
      </c>
      <c r="P28" s="47">
        <f>SUM(P19:P27)</f>
        <v>150000</v>
      </c>
      <c r="Q28" s="53">
        <f>SUM(Q19:Q27)</f>
        <v>855000</v>
      </c>
      <c r="R28" s="50" t="str">
        <f>IF(COUNT(R19:R27)=ROWS(R19:R27),SUM(R19:R27),"")</f>
        <v/>
      </c>
      <c r="S28" s="50" t="str">
        <f t="shared" si="7"/>
        <v/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s="4" customFormat="1" ht="21" customHeight="1" x14ac:dyDescent="0.25">
      <c r="B29" s="6"/>
      <c r="C29" s="6"/>
      <c r="D29" s="6"/>
      <c r="E29" s="6"/>
      <c r="F29" s="6"/>
      <c r="G29" s="6"/>
      <c r="H29" s="1"/>
      <c r="I29" s="2"/>
      <c r="J29" s="2"/>
      <c r="K29" s="1"/>
      <c r="L29" s="2"/>
      <c r="M29" s="2"/>
      <c r="N29" s="1"/>
      <c r="O29" s="1"/>
      <c r="P29" s="2"/>
      <c r="Q29" s="7"/>
      <c r="R29" s="2"/>
      <c r="S29" s="3"/>
    </row>
    <row r="30" spans="1:41" ht="30" customHeight="1" x14ac:dyDescent="0.25">
      <c r="A30" s="4"/>
      <c r="B30" s="21" t="s">
        <v>66</v>
      </c>
      <c r="C30" s="21" t="s">
        <v>67</v>
      </c>
      <c r="D30" s="39"/>
      <c r="E30" s="22"/>
      <c r="F30" s="22"/>
      <c r="G30" s="56"/>
      <c r="H30" s="79">
        <f>SUM(H14,H28)</f>
        <v>120</v>
      </c>
      <c r="I30" s="40"/>
      <c r="J30" s="42">
        <f>SUM(J14,J28)</f>
        <v>1800000</v>
      </c>
      <c r="K30" s="42"/>
      <c r="L30" s="42"/>
      <c r="M30" s="42">
        <f>SUM(M14,M28)</f>
        <v>0</v>
      </c>
      <c r="N30" s="42">
        <f>SUM(N14,N28)</f>
        <v>0</v>
      </c>
      <c r="O30" s="42">
        <f>SUM(O14,O28)</f>
        <v>0</v>
      </c>
      <c r="P30" s="47">
        <f>SUM(P14,P28)</f>
        <v>150000</v>
      </c>
      <c r="Q30" s="53">
        <f>SUM(Q14,Q28)</f>
        <v>1950000</v>
      </c>
      <c r="R30" s="50" t="str">
        <f>IF(COUNT(R14,R28)=2,SUM(R14,R28),"")</f>
        <v/>
      </c>
      <c r="S30" s="50" t="str">
        <f>IF(ISNUMBER(R30),R30-Q30,"")</f>
        <v/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:4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pans="1:4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pans="1:4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:4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pans="1:4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:4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1:4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1:4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4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4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4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4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4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</sheetData>
  <mergeCells count="8">
    <mergeCell ref="Q16:S16"/>
    <mergeCell ref="Q2:S2"/>
    <mergeCell ref="H16:J16"/>
    <mergeCell ref="K2:M2"/>
    <mergeCell ref="N16:P16"/>
    <mergeCell ref="N2:P2"/>
    <mergeCell ref="H2:J2"/>
    <mergeCell ref="K16:M16"/>
  </mergeCells>
  <conditionalFormatting sqref="D4:D13">
    <cfRule type="containsText" dxfId="41" priority="24" operator="containsText" text="Approved">
      <formula>NOT(ISERROR(SEARCH("Approved",D4)))</formula>
    </cfRule>
    <cfRule type="containsText" dxfId="40" priority="25" operator="containsText" text="Needs Review">
      <formula>NOT(ISERROR(SEARCH("Needs Review",D4)))</formula>
    </cfRule>
    <cfRule type="containsText" dxfId="39" priority="26" operator="containsText" text="Not Started">
      <formula>NOT(ISERROR(SEARCH("Not Started",D4)))</formula>
    </cfRule>
    <cfRule type="containsText" dxfId="38" priority="27" operator="containsText" text="On Hold">
      <formula>NOT(ISERROR(SEARCH("On Hold",D4)))</formula>
    </cfRule>
    <cfRule type="containsText" dxfId="37" priority="28" operator="containsText" text="Overdue">
      <formula>NOT(ISERROR(SEARCH("Overdue",D4)))</formula>
    </cfRule>
    <cfRule type="containsText" dxfId="36" priority="29" operator="containsText" text="Complete">
      <formula>NOT(ISERROR(SEARCH("Complete",D4)))</formula>
    </cfRule>
    <cfRule type="containsText" dxfId="35" priority="30" operator="containsText" text="In Progress">
      <formula>NOT(ISERROR(SEARCH("In Progress",D4)))</formula>
    </cfRule>
  </conditionalFormatting>
  <conditionalFormatting sqref="D5:D13">
    <cfRule type="cellIs" dxfId="34" priority="18" operator="equal">
      <formula>"En Espera"</formula>
    </cfRule>
    <cfRule type="cellIs" dxfId="33" priority="16" operator="equal">
      <formula>"No Iniciado"</formula>
    </cfRule>
    <cfRule type="cellIs" dxfId="32" priority="17" operator="equal">
      <formula>"Aprobado"</formula>
    </cfRule>
    <cfRule type="cellIs" dxfId="31" priority="19" operator="equal">
      <formula>"Atrasado"</formula>
    </cfRule>
    <cfRule type="cellIs" dxfId="30" priority="20" operator="equal">
      <formula>"Aprovado"</formula>
    </cfRule>
    <cfRule type="cellIs" dxfId="29" priority="21" operator="equal">
      <formula>"Requiere Revisión"</formula>
    </cfRule>
    <cfRule type="cellIs" dxfId="28" priority="22" operator="equal">
      <formula>"En Progreso"</formula>
    </cfRule>
    <cfRule type="cellIs" dxfId="27" priority="23" operator="equal">
      <formula>"Completo"</formula>
    </cfRule>
  </conditionalFormatting>
  <conditionalFormatting sqref="D18:D27">
    <cfRule type="containsText" dxfId="26" priority="11" operator="containsText" text="Not Started">
      <formula>NOT(ISERROR(SEARCH("Not Started",D18)))</formula>
    </cfRule>
    <cfRule type="containsText" dxfId="25" priority="12" operator="containsText" text="On Hold">
      <formula>NOT(ISERROR(SEARCH("On Hold",D18)))</formula>
    </cfRule>
    <cfRule type="containsText" dxfId="24" priority="13" operator="containsText" text="Overdue">
      <formula>NOT(ISERROR(SEARCH("Overdue",D18)))</formula>
    </cfRule>
    <cfRule type="containsText" dxfId="23" priority="14" operator="containsText" text="Complete">
      <formula>NOT(ISERROR(SEARCH("Complete",D18)))</formula>
    </cfRule>
    <cfRule type="containsText" dxfId="22" priority="15" operator="containsText" text="In Progress">
      <formula>NOT(ISERROR(SEARCH("In Progress",D18)))</formula>
    </cfRule>
    <cfRule type="containsText" dxfId="21" priority="9" operator="containsText" text="Approved">
      <formula>NOT(ISERROR(SEARCH("Approved",D18)))</formula>
    </cfRule>
    <cfRule type="containsText" dxfId="20" priority="10" operator="containsText" text="Needs Review">
      <formula>NOT(ISERROR(SEARCH("Needs Review",D18)))</formula>
    </cfRule>
  </conditionalFormatting>
  <conditionalFormatting sqref="D19:D27">
    <cfRule type="cellIs" dxfId="19" priority="6" operator="equal">
      <formula>"Requiere Revisión"</formula>
    </cfRule>
    <cfRule type="cellIs" dxfId="18" priority="7" operator="equal">
      <formula>"En Progreso"</formula>
    </cfRule>
    <cfRule type="cellIs" dxfId="17" priority="8" operator="equal">
      <formula>"Completo"</formula>
    </cfRule>
    <cfRule type="cellIs" dxfId="16" priority="1" operator="equal">
      <formula>"No Iniciado"</formula>
    </cfRule>
    <cfRule type="cellIs" dxfId="15" priority="2" operator="equal">
      <formula>"Aprobado"</formula>
    </cfRule>
    <cfRule type="cellIs" dxfId="14" priority="3" operator="equal">
      <formula>"En Espera"</formula>
    </cfRule>
    <cfRule type="cellIs" dxfId="13" priority="4" operator="equal">
      <formula>"Atrasado"</formula>
    </cfRule>
    <cfRule type="cellIs" dxfId="12" priority="5" operator="equal">
      <formula>"Aprovado"</formula>
    </cfRule>
  </conditionalFormatting>
  <conditionalFormatting sqref="S5:S14 S19:S28">
    <cfRule type="cellIs" dxfId="11" priority="44" operator="lessThan">
      <formula>0</formula>
    </cfRule>
    <cfRule type="cellIs" dxfId="10" priority="45" operator="greaterThan">
      <formula>0</formula>
    </cfRule>
  </conditionalFormatting>
  <conditionalFormatting sqref="S15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9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showErrorMessage="1" sqref="D5:D13 D19:D27" xr:uid="{00000000-0002-0000-0000-000000000000}">
      <formula1>"No Iniciado,En Progreso,Completo,Requiere Revisión,Aprobado,Atrasado,En Espera"</formula1>
    </dataValidation>
  </dataValidations>
  <pageMargins left="0.3" right="0.3" top="0.3" bottom="0.3" header="0" footer="0"/>
  <pageSetup paperSize="8" scale="63" fitToHeight="0" orientation="landscape" horizontalDpi="4294967292" verticalDpi="4294967292"/>
  <headerFooter>
    <oddFooter>&amp;CFarmaps | Pesos colombianos (COP) | Página &amp;P de &amp;N</oddFooter>
  </headerFooter>
  <rowBreaks count="1" manualBreakCount="1">
    <brk id="15" max="16383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AF61"/>
  <sheetViews>
    <sheetView showGridLines="0" workbookViewId="0">
      <selection activeCell="I3" sqref="I3"/>
    </sheetView>
  </sheetViews>
  <sheetFormatPr baseColWidth="10" defaultRowHeight="15.6" x14ac:dyDescent="0.3"/>
  <cols>
    <col min="1" max="1" width="3.3984375" style="10" customWidth="1"/>
    <col min="2" max="2" width="10.8984375" style="10" customWidth="1"/>
    <col min="3" max="3" width="3.3984375" style="10" customWidth="1"/>
    <col min="5" max="5" width="3.3984375" style="10" customWidth="1"/>
    <col min="6" max="6" width="12.8984375" customWidth="1"/>
    <col min="7" max="7" width="3.3984375" style="10" customWidth="1"/>
  </cols>
  <sheetData>
    <row r="1" spans="1:32" s="10" customFormat="1" ht="42" customHeight="1" thickBot="1" x14ac:dyDescent="0.35">
      <c r="B1" s="34" t="s">
        <v>68</v>
      </c>
      <c r="C1" s="8"/>
      <c r="D1" s="8"/>
      <c r="E1" s="8"/>
      <c r="F1" s="8"/>
      <c r="G1" s="8"/>
      <c r="H1" s="8"/>
      <c r="I1" s="8"/>
      <c r="J1" s="8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24.9" customHeight="1" thickTop="1" x14ac:dyDescent="0.3">
      <c r="A2" s="9"/>
      <c r="B2" s="33" t="s">
        <v>69</v>
      </c>
      <c r="C2" s="9"/>
      <c r="D2" s="33" t="s">
        <v>70</v>
      </c>
      <c r="E2" s="9"/>
      <c r="F2" s="33" t="s">
        <v>7</v>
      </c>
      <c r="G2" s="9"/>
    </row>
    <row r="3" spans="1:32" ht="35.1" customHeight="1" x14ac:dyDescent="0.3">
      <c r="A3" s="9"/>
      <c r="B3" s="32" t="s">
        <v>71</v>
      </c>
      <c r="C3" s="9"/>
      <c r="D3" s="31" t="s">
        <v>72</v>
      </c>
      <c r="E3" s="9"/>
      <c r="F3" s="70" t="s">
        <v>27</v>
      </c>
      <c r="G3" s="9"/>
    </row>
    <row r="4" spans="1:32" ht="35.1" customHeight="1" x14ac:dyDescent="0.3">
      <c r="A4" s="9"/>
      <c r="B4" s="30" t="s">
        <v>73</v>
      </c>
      <c r="C4" s="9"/>
      <c r="D4" s="29" t="s">
        <v>74</v>
      </c>
      <c r="E4" s="9"/>
      <c r="F4" s="71" t="s">
        <v>48</v>
      </c>
      <c r="G4" s="9"/>
    </row>
    <row r="5" spans="1:32" ht="35.1" customHeight="1" x14ac:dyDescent="0.3">
      <c r="A5" s="9"/>
      <c r="C5" s="9"/>
      <c r="D5" s="28" t="s">
        <v>75</v>
      </c>
      <c r="E5" s="9"/>
      <c r="F5" s="72" t="s">
        <v>76</v>
      </c>
      <c r="G5" s="9"/>
    </row>
    <row r="6" spans="1:32" ht="35.1" customHeight="1" x14ac:dyDescent="0.3">
      <c r="A6" s="9"/>
      <c r="C6" s="9"/>
      <c r="D6" s="24"/>
      <c r="E6" s="9"/>
      <c r="F6" s="27" t="s">
        <v>77</v>
      </c>
      <c r="G6" s="9"/>
    </row>
    <row r="7" spans="1:32" ht="35.1" customHeight="1" x14ac:dyDescent="0.3">
      <c r="A7" s="9"/>
      <c r="C7" s="9"/>
      <c r="D7" s="24"/>
      <c r="E7" s="9"/>
      <c r="F7" s="26" t="s">
        <v>78</v>
      </c>
      <c r="G7" s="9"/>
    </row>
    <row r="8" spans="1:32" ht="35.1" customHeight="1" x14ac:dyDescent="0.3">
      <c r="A8" s="9"/>
      <c r="C8" s="9"/>
      <c r="E8" s="9"/>
      <c r="F8" s="18" t="s">
        <v>79</v>
      </c>
      <c r="G8" s="9"/>
    </row>
    <row r="9" spans="1:32" ht="35.1" customHeight="1" x14ac:dyDescent="0.3">
      <c r="A9" s="9"/>
      <c r="B9" s="9"/>
      <c r="C9" s="9"/>
      <c r="E9" s="9"/>
      <c r="F9" s="25" t="s">
        <v>55</v>
      </c>
      <c r="G9" s="9"/>
    </row>
    <row r="10" spans="1:32" ht="35.1" customHeight="1" x14ac:dyDescent="0.3">
      <c r="A10" s="9"/>
      <c r="B10" s="9"/>
      <c r="C10" s="9"/>
      <c r="D10" s="24"/>
      <c r="E10" s="9"/>
      <c r="F10" s="17"/>
      <c r="G10" s="9"/>
    </row>
    <row r="11" spans="1:32" ht="35.1" customHeight="1" x14ac:dyDescent="0.3">
      <c r="A11" s="9"/>
      <c r="B11" s="9"/>
      <c r="C11" s="9"/>
      <c r="D11" s="24"/>
      <c r="E11" s="9"/>
      <c r="F11" s="17"/>
      <c r="G11" s="9"/>
    </row>
    <row r="12" spans="1:32" ht="16.5" customHeight="1" x14ac:dyDescent="0.3">
      <c r="A12" s="9"/>
      <c r="B12" s="9"/>
      <c r="C12" s="9"/>
      <c r="D12" s="24"/>
      <c r="E12" s="9"/>
      <c r="F12" s="24"/>
      <c r="G12" s="9"/>
    </row>
    <row r="13" spans="1:32" ht="16.5" customHeight="1" x14ac:dyDescent="0.3">
      <c r="A13" s="9"/>
      <c r="B13" s="9"/>
      <c r="C13" s="9"/>
      <c r="D13" s="24"/>
      <c r="E13" s="9"/>
      <c r="F13" s="24"/>
      <c r="G13" s="9"/>
    </row>
    <row r="14" spans="1:32" ht="16.5" customHeight="1" x14ac:dyDescent="0.3">
      <c r="A14" s="9"/>
      <c r="B14" s="9"/>
      <c r="C14" s="9"/>
      <c r="D14" s="24"/>
      <c r="E14" s="9"/>
      <c r="F14" s="24"/>
      <c r="G14" s="9"/>
    </row>
    <row r="15" spans="1:32" ht="16.5" customHeight="1" x14ac:dyDescent="0.3">
      <c r="A15" s="9"/>
      <c r="B15" s="9"/>
      <c r="C15" s="9"/>
      <c r="D15" s="24"/>
      <c r="E15" s="9"/>
      <c r="F15" s="24"/>
      <c r="G15" s="9"/>
    </row>
    <row r="16" spans="1:32" ht="16.5" customHeight="1" x14ac:dyDescent="0.3">
      <c r="A16" s="9"/>
      <c r="B16" s="9"/>
      <c r="C16" s="9"/>
      <c r="D16" s="24"/>
      <c r="E16" s="9"/>
      <c r="F16" s="24"/>
      <c r="G16" s="9"/>
    </row>
    <row r="17" spans="1:7" ht="16.5" customHeight="1" x14ac:dyDescent="0.3">
      <c r="A17" s="9"/>
      <c r="B17" s="9"/>
      <c r="C17" s="9"/>
      <c r="D17" s="24"/>
      <c r="E17" s="9"/>
      <c r="G17" s="9"/>
    </row>
    <row r="18" spans="1:7" ht="16.5" customHeight="1" x14ac:dyDescent="0.3">
      <c r="A18" s="9"/>
      <c r="B18" s="9"/>
      <c r="C18" s="9"/>
      <c r="D18" s="24"/>
      <c r="E18" s="9"/>
      <c r="G18" s="9"/>
    </row>
    <row r="19" spans="1:7" ht="16.5" customHeight="1" x14ac:dyDescent="0.3">
      <c r="A19" s="9"/>
      <c r="B19" s="9"/>
      <c r="C19" s="9"/>
      <c r="D19" s="24"/>
      <c r="E19" s="9"/>
      <c r="G19" s="9"/>
    </row>
    <row r="20" spans="1:7" ht="16.5" customHeight="1" x14ac:dyDescent="0.3">
      <c r="A20" s="9"/>
      <c r="B20" s="9"/>
      <c r="C20" s="9"/>
      <c r="D20" s="24"/>
      <c r="E20" s="9"/>
      <c r="G20" s="9"/>
    </row>
    <row r="21" spans="1:7" ht="16.5" customHeight="1" x14ac:dyDescent="0.3">
      <c r="A21" s="9"/>
      <c r="B21" s="9"/>
      <c r="C21" s="9"/>
      <c r="D21" s="24"/>
      <c r="E21" s="9"/>
      <c r="G21" s="9"/>
    </row>
    <row r="22" spans="1:7" ht="16.5" customHeight="1" x14ac:dyDescent="0.3">
      <c r="A22" s="9"/>
      <c r="B22" s="9"/>
      <c r="C22" s="9"/>
      <c r="D22" s="24"/>
      <c r="E22" s="9"/>
      <c r="G22" s="9"/>
    </row>
    <row r="23" spans="1:7" ht="16.5" customHeight="1" x14ac:dyDescent="0.3">
      <c r="A23" s="9"/>
      <c r="B23" s="9"/>
      <c r="C23" s="9"/>
      <c r="D23" s="24"/>
      <c r="E23" s="9"/>
      <c r="G23" s="9"/>
    </row>
    <row r="24" spans="1:7" ht="16.5" customHeight="1" x14ac:dyDescent="0.3">
      <c r="A24" s="9"/>
      <c r="B24" s="9"/>
      <c r="C24" s="9"/>
      <c r="D24" s="24"/>
      <c r="E24" s="9"/>
      <c r="G24" s="9"/>
    </row>
    <row r="25" spans="1:7" ht="16.5" customHeight="1" x14ac:dyDescent="0.3">
      <c r="A25" s="9"/>
      <c r="B25" s="9"/>
      <c r="C25" s="9"/>
      <c r="D25" s="24"/>
      <c r="E25" s="9"/>
      <c r="G25" s="9"/>
    </row>
    <row r="26" spans="1:7" ht="16.5" customHeight="1" x14ac:dyDescent="0.3">
      <c r="A26" s="9"/>
      <c r="B26" s="9"/>
      <c r="C26" s="9"/>
      <c r="D26" s="24"/>
      <c r="E26" s="9"/>
      <c r="G26" s="9"/>
    </row>
    <row r="27" spans="1:7" ht="16.5" customHeight="1" x14ac:dyDescent="0.3">
      <c r="A27" s="9"/>
      <c r="B27" s="9"/>
      <c r="C27" s="9"/>
      <c r="D27" s="24"/>
      <c r="E27" s="9"/>
      <c r="G27" s="9"/>
    </row>
    <row r="28" spans="1:7" ht="16.5" customHeight="1" x14ac:dyDescent="0.3">
      <c r="A28" s="9"/>
      <c r="B28" s="9"/>
      <c r="C28" s="9"/>
      <c r="D28" s="24"/>
      <c r="E28" s="9"/>
      <c r="G28" s="9"/>
    </row>
    <row r="29" spans="1:7" ht="16.5" customHeight="1" x14ac:dyDescent="0.3">
      <c r="A29" s="9"/>
      <c r="B29" s="9"/>
      <c r="C29" s="9"/>
      <c r="D29" s="24"/>
      <c r="E29" s="9"/>
      <c r="G29" s="9"/>
    </row>
    <row r="30" spans="1:7" ht="16.5" customHeight="1" x14ac:dyDescent="0.3">
      <c r="A30" s="9"/>
      <c r="B30" s="9"/>
      <c r="C30" s="9"/>
      <c r="D30" s="24"/>
      <c r="E30" s="9"/>
      <c r="G30" s="9"/>
    </row>
    <row r="31" spans="1:7" ht="16.5" customHeight="1" x14ac:dyDescent="0.3">
      <c r="A31" s="9"/>
      <c r="B31" s="9"/>
      <c r="C31" s="9"/>
      <c r="D31" s="24"/>
      <c r="E31" s="9"/>
      <c r="G31" s="9"/>
    </row>
    <row r="32" spans="1:7" ht="16.5" customHeight="1" x14ac:dyDescent="0.3">
      <c r="D32" s="24"/>
    </row>
    <row r="33" spans="1:7" x14ac:dyDescent="0.3">
      <c r="A33" s="9"/>
      <c r="B33" s="9"/>
      <c r="C33" s="9"/>
      <c r="E33" s="9"/>
      <c r="G33" s="9"/>
    </row>
    <row r="34" spans="1:7" x14ac:dyDescent="0.3">
      <c r="A34" s="9"/>
      <c r="B34" s="9"/>
      <c r="C34" s="9"/>
      <c r="E34" s="9"/>
      <c r="G34" s="9"/>
    </row>
    <row r="35" spans="1:7" x14ac:dyDescent="0.3">
      <c r="A35" s="9"/>
      <c r="B35" s="9"/>
      <c r="C35" s="9"/>
      <c r="E35" s="9"/>
      <c r="G35" s="9"/>
    </row>
    <row r="36" spans="1:7" x14ac:dyDescent="0.3">
      <c r="A36" s="9"/>
      <c r="B36" s="9"/>
      <c r="C36" s="9"/>
      <c r="E36" s="9"/>
      <c r="G36" s="9"/>
    </row>
    <row r="37" spans="1:7" x14ac:dyDescent="0.3">
      <c r="A37" s="9"/>
      <c r="B37" s="9"/>
      <c r="C37" s="9"/>
      <c r="E37" s="9"/>
      <c r="G37" s="9"/>
    </row>
    <row r="38" spans="1:7" x14ac:dyDescent="0.3">
      <c r="A38" s="9"/>
      <c r="B38" s="9"/>
      <c r="C38" s="9"/>
      <c r="E38" s="9"/>
      <c r="G38" s="9"/>
    </row>
    <row r="39" spans="1:7" x14ac:dyDescent="0.3">
      <c r="A39" s="9"/>
      <c r="B39" s="9"/>
      <c r="C39" s="9"/>
      <c r="E39" s="9"/>
      <c r="G39" s="9"/>
    </row>
    <row r="40" spans="1:7" x14ac:dyDescent="0.3">
      <c r="A40" s="9"/>
      <c r="B40" s="9"/>
      <c r="C40" s="9"/>
      <c r="E40" s="9"/>
      <c r="G40" s="9"/>
    </row>
    <row r="41" spans="1:7" x14ac:dyDescent="0.3">
      <c r="A41" s="9"/>
      <c r="B41" s="9"/>
      <c r="C41" s="9"/>
      <c r="E41" s="9"/>
      <c r="G41" s="9"/>
    </row>
    <row r="42" spans="1:7" x14ac:dyDescent="0.3">
      <c r="A42" s="9"/>
      <c r="B42" s="9"/>
      <c r="C42" s="9"/>
      <c r="E42" s="9"/>
      <c r="G42" s="9"/>
    </row>
    <row r="43" spans="1:7" x14ac:dyDescent="0.3">
      <c r="A43" s="9"/>
      <c r="B43" s="9"/>
      <c r="C43" s="9"/>
      <c r="E43" s="9"/>
      <c r="G43" s="9"/>
    </row>
    <row r="44" spans="1:7" x14ac:dyDescent="0.3">
      <c r="A44" s="9"/>
      <c r="B44" s="9"/>
      <c r="C44" s="9"/>
      <c r="E44" s="9"/>
      <c r="G44" s="9"/>
    </row>
    <row r="45" spans="1:7" x14ac:dyDescent="0.3">
      <c r="A45" s="9"/>
      <c r="B45" s="9"/>
      <c r="C45" s="9"/>
      <c r="E45" s="9"/>
      <c r="G45" s="9"/>
    </row>
    <row r="46" spans="1:7" x14ac:dyDescent="0.3">
      <c r="A46" s="9"/>
      <c r="B46" s="9"/>
      <c r="C46" s="9"/>
      <c r="E46" s="9"/>
      <c r="G46" s="9"/>
    </row>
    <row r="47" spans="1:7" x14ac:dyDescent="0.3">
      <c r="A47" s="9"/>
      <c r="B47" s="9"/>
      <c r="C47" s="9"/>
      <c r="E47" s="9"/>
      <c r="G47" s="9"/>
    </row>
    <row r="48" spans="1:7" x14ac:dyDescent="0.3">
      <c r="A48" s="9"/>
      <c r="B48" s="9"/>
      <c r="C48" s="9"/>
      <c r="E48" s="9"/>
      <c r="G48" s="9"/>
    </row>
    <row r="49" spans="1:7" x14ac:dyDescent="0.3">
      <c r="A49" s="9"/>
      <c r="B49" s="9"/>
      <c r="C49" s="9"/>
      <c r="E49" s="9"/>
      <c r="G49" s="9"/>
    </row>
    <row r="50" spans="1:7" x14ac:dyDescent="0.3">
      <c r="A50" s="9"/>
      <c r="B50" s="9"/>
      <c r="C50" s="9"/>
      <c r="E50" s="9"/>
      <c r="G50" s="9"/>
    </row>
    <row r="51" spans="1:7" x14ac:dyDescent="0.3">
      <c r="A51" s="9"/>
      <c r="B51" s="9"/>
      <c r="C51" s="9"/>
      <c r="E51" s="9"/>
      <c r="G51" s="9"/>
    </row>
    <row r="52" spans="1:7" x14ac:dyDescent="0.3">
      <c r="A52" s="9"/>
      <c r="B52" s="9"/>
      <c r="C52" s="9"/>
      <c r="E52" s="9"/>
      <c r="G52" s="9"/>
    </row>
    <row r="53" spans="1:7" x14ac:dyDescent="0.3">
      <c r="A53" s="9"/>
      <c r="B53" s="9"/>
      <c r="C53" s="9"/>
      <c r="E53" s="9"/>
      <c r="G53" s="9"/>
    </row>
    <row r="54" spans="1:7" x14ac:dyDescent="0.3">
      <c r="A54" s="9"/>
      <c r="B54" s="9"/>
      <c r="C54" s="9"/>
      <c r="E54" s="9"/>
      <c r="G54" s="9"/>
    </row>
    <row r="55" spans="1:7" x14ac:dyDescent="0.3">
      <c r="A55" s="9"/>
      <c r="B55" s="9"/>
      <c r="C55" s="9"/>
      <c r="E55" s="9"/>
      <c r="G55" s="9"/>
    </row>
    <row r="56" spans="1:7" x14ac:dyDescent="0.3">
      <c r="A56" s="9"/>
      <c r="B56" s="9"/>
      <c r="C56" s="9"/>
      <c r="E56" s="9"/>
      <c r="G56" s="9"/>
    </row>
    <row r="57" spans="1:7" x14ac:dyDescent="0.3">
      <c r="A57" s="9"/>
      <c r="B57" s="9"/>
      <c r="C57" s="9"/>
      <c r="E57" s="9"/>
      <c r="G57" s="9"/>
    </row>
    <row r="58" spans="1:7" x14ac:dyDescent="0.3">
      <c r="A58" s="9"/>
      <c r="B58" s="9"/>
      <c r="C58" s="9"/>
      <c r="E58" s="9"/>
      <c r="G58" s="9"/>
    </row>
    <row r="59" spans="1:7" x14ac:dyDescent="0.3">
      <c r="A59" s="9"/>
      <c r="B59" s="9"/>
      <c r="C59" s="9"/>
      <c r="E59" s="9"/>
      <c r="G59" s="9"/>
    </row>
    <row r="60" spans="1:7" x14ac:dyDescent="0.3">
      <c r="A60" s="9"/>
      <c r="B60" s="9"/>
      <c r="C60" s="9"/>
      <c r="E60" s="9"/>
      <c r="G60" s="9"/>
    </row>
    <row r="61" spans="1:7" x14ac:dyDescent="0.3">
      <c r="A61" s="9"/>
      <c r="B61" s="9"/>
      <c r="C61" s="9"/>
      <c r="E61" s="9"/>
      <c r="G61" s="9"/>
    </row>
  </sheetData>
  <conditionalFormatting sqref="D3:D5">
    <cfRule type="containsText" dxfId="9" priority="9" operator="containsText" text="Low">
      <formula>NOT(ISERROR(SEARCH("Low",D3)))</formula>
    </cfRule>
    <cfRule type="containsText" dxfId="8" priority="10" operator="containsText" text="Medium">
      <formula>NOT(ISERROR(SEARCH("Medium",D3)))</formula>
    </cfRule>
    <cfRule type="containsText" dxfId="7" priority="11" operator="containsText" text="High">
      <formula>NOT(ISERROR(SEARCH("High",D3)))</formula>
    </cfRule>
  </conditionalFormatting>
  <conditionalFormatting sqref="F3:F11">
    <cfRule type="containsText" dxfId="6" priority="8" operator="containsText" text="Approved">
      <formula>NOT(ISERROR(SEARCH("Approved",F3)))</formula>
    </cfRule>
    <cfRule type="containsText" dxfId="5" priority="12" operator="containsText" text="Needs Review">
      <formula>NOT(ISERROR(SEARCH("Needs Review",F3)))</formula>
    </cfRule>
    <cfRule type="containsText" dxfId="4" priority="13" operator="containsText" text="Not Started">
      <formula>NOT(ISERROR(SEARCH("Not Started",F3)))</formula>
    </cfRule>
    <cfRule type="containsText" dxfId="3" priority="14" operator="containsText" text="On Hold">
      <formula>NOT(ISERROR(SEARCH("On Hold",F3)))</formula>
    </cfRule>
    <cfRule type="containsText" dxfId="2" priority="15" operator="containsText" text="Overdue">
      <formula>NOT(ISERROR(SEARCH("Overdue",F3)))</formula>
    </cfRule>
    <cfRule type="containsText" dxfId="1" priority="16" operator="containsText" text="Complete">
      <formula>NOT(ISERROR(SEARCH("Complete",F3)))</formula>
    </cfRule>
    <cfRule type="containsText" dxfId="0" priority="17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6"/>
  <sheetViews>
    <sheetView showGridLines="0" workbookViewId="0">
      <pane ySplit="1" topLeftCell="A2" activePane="bottomLeft" state="frozen"/>
      <selection pane="bottomLeft"/>
    </sheetView>
  </sheetViews>
  <sheetFormatPr baseColWidth="10" defaultColWidth="8.796875" defaultRowHeight="15.6" x14ac:dyDescent="0.3"/>
  <cols>
    <col min="1" max="1" width="12" customWidth="1"/>
    <col min="2" max="2" width="59" customWidth="1"/>
    <col min="3" max="3" width="18" customWidth="1"/>
    <col min="4" max="4" width="19" customWidth="1"/>
    <col min="5" max="5" width="24" customWidth="1"/>
    <col min="6" max="6" width="29" customWidth="1"/>
    <col min="7" max="7" width="32" customWidth="1"/>
  </cols>
  <sheetData>
    <row r="1" spans="1:7" ht="40.049999999999997" customHeight="1" x14ac:dyDescent="0.3">
      <c r="A1" s="36" t="s">
        <v>80</v>
      </c>
      <c r="B1" s="36" t="s">
        <v>81</v>
      </c>
      <c r="C1" s="36" t="s">
        <v>82</v>
      </c>
      <c r="D1" s="36" t="s">
        <v>83</v>
      </c>
      <c r="E1" s="36" t="s">
        <v>84</v>
      </c>
      <c r="F1" s="36" t="s">
        <v>85</v>
      </c>
      <c r="G1" s="36" t="s">
        <v>86</v>
      </c>
    </row>
    <row r="2" spans="1:7" ht="66" customHeight="1" x14ac:dyDescent="0.3">
      <c r="A2" s="75" t="s">
        <v>87</v>
      </c>
      <c r="B2" s="75" t="s">
        <v>88</v>
      </c>
      <c r="C2" s="75">
        <v>2</v>
      </c>
      <c r="D2" s="76">
        <v>15000</v>
      </c>
      <c r="E2" s="77">
        <f t="shared" ref="E2:E25" si="0">C2*D2</f>
        <v>30000</v>
      </c>
      <c r="F2" s="75" t="s">
        <v>24</v>
      </c>
      <c r="G2" s="75" t="s">
        <v>89</v>
      </c>
    </row>
    <row r="3" spans="1:7" ht="66" customHeight="1" x14ac:dyDescent="0.3">
      <c r="A3" s="75" t="s">
        <v>90</v>
      </c>
      <c r="B3" s="75" t="s">
        <v>91</v>
      </c>
      <c r="C3" s="75">
        <v>4</v>
      </c>
      <c r="D3" s="76">
        <v>15000</v>
      </c>
      <c r="E3" s="77">
        <f t="shared" si="0"/>
        <v>60000</v>
      </c>
      <c r="F3" s="75" t="s">
        <v>24</v>
      </c>
      <c r="G3" s="75" t="s">
        <v>89</v>
      </c>
    </row>
    <row r="4" spans="1:7" ht="66" customHeight="1" x14ac:dyDescent="0.3">
      <c r="A4" s="75" t="s">
        <v>92</v>
      </c>
      <c r="B4" s="75" t="s">
        <v>93</v>
      </c>
      <c r="C4" s="75">
        <v>3</v>
      </c>
      <c r="D4" s="76">
        <v>15000</v>
      </c>
      <c r="E4" s="77">
        <f t="shared" si="0"/>
        <v>45000</v>
      </c>
      <c r="F4" s="75" t="s">
        <v>24</v>
      </c>
      <c r="G4" s="75" t="s">
        <v>89</v>
      </c>
    </row>
    <row r="5" spans="1:7" ht="66" customHeight="1" x14ac:dyDescent="0.3">
      <c r="A5" s="75" t="s">
        <v>94</v>
      </c>
      <c r="B5" s="75" t="s">
        <v>95</v>
      </c>
      <c r="C5" s="75">
        <v>6</v>
      </c>
      <c r="D5" s="76">
        <v>15000</v>
      </c>
      <c r="E5" s="77">
        <f t="shared" si="0"/>
        <v>90000</v>
      </c>
      <c r="F5" s="75" t="s">
        <v>24</v>
      </c>
      <c r="G5" s="75" t="s">
        <v>89</v>
      </c>
    </row>
    <row r="6" spans="1:7" ht="66" customHeight="1" x14ac:dyDescent="0.3">
      <c r="A6" s="75" t="s">
        <v>96</v>
      </c>
      <c r="B6" s="75" t="s">
        <v>97</v>
      </c>
      <c r="C6" s="75">
        <v>3</v>
      </c>
      <c r="D6" s="76">
        <v>15000</v>
      </c>
      <c r="E6" s="77">
        <f t="shared" si="0"/>
        <v>45000</v>
      </c>
      <c r="F6" s="75" t="s">
        <v>24</v>
      </c>
      <c r="G6" s="75" t="s">
        <v>89</v>
      </c>
    </row>
    <row r="7" spans="1:7" ht="66" customHeight="1" x14ac:dyDescent="0.3">
      <c r="A7" s="75" t="s">
        <v>98</v>
      </c>
      <c r="B7" s="75" t="s">
        <v>99</v>
      </c>
      <c r="C7" s="75">
        <v>4</v>
      </c>
      <c r="D7" s="76">
        <v>15000</v>
      </c>
      <c r="E7" s="77">
        <f t="shared" si="0"/>
        <v>60000</v>
      </c>
      <c r="F7" s="75" t="s">
        <v>24</v>
      </c>
      <c r="G7" s="75" t="s">
        <v>89</v>
      </c>
    </row>
    <row r="8" spans="1:7" ht="66" customHeight="1" x14ac:dyDescent="0.3">
      <c r="A8" s="75" t="s">
        <v>100</v>
      </c>
      <c r="B8" s="75" t="s">
        <v>101</v>
      </c>
      <c r="C8" s="75">
        <v>4</v>
      </c>
      <c r="D8" s="76">
        <v>15000</v>
      </c>
      <c r="E8" s="77">
        <f t="shared" si="0"/>
        <v>60000</v>
      </c>
      <c r="F8" s="75" t="s">
        <v>24</v>
      </c>
      <c r="G8" s="75" t="s">
        <v>89</v>
      </c>
    </row>
    <row r="9" spans="1:7" ht="66" customHeight="1" x14ac:dyDescent="0.3">
      <c r="A9" s="75" t="s">
        <v>102</v>
      </c>
      <c r="B9" s="75" t="s">
        <v>103</v>
      </c>
      <c r="C9" s="75">
        <v>4</v>
      </c>
      <c r="D9" s="76">
        <v>15000</v>
      </c>
      <c r="E9" s="77">
        <f t="shared" si="0"/>
        <v>60000</v>
      </c>
      <c r="F9" s="75" t="s">
        <v>24</v>
      </c>
      <c r="G9" s="75" t="s">
        <v>89</v>
      </c>
    </row>
    <row r="10" spans="1:7" ht="66" customHeight="1" x14ac:dyDescent="0.3">
      <c r="A10" s="75" t="s">
        <v>104</v>
      </c>
      <c r="B10" s="75" t="s">
        <v>105</v>
      </c>
      <c r="C10" s="75">
        <v>5</v>
      </c>
      <c r="D10" s="76">
        <v>15000</v>
      </c>
      <c r="E10" s="77">
        <f t="shared" si="0"/>
        <v>75000</v>
      </c>
      <c r="F10" s="75" t="s">
        <v>24</v>
      </c>
      <c r="G10" s="75" t="s">
        <v>89</v>
      </c>
    </row>
    <row r="11" spans="1:7" ht="66" customHeight="1" x14ac:dyDescent="0.3">
      <c r="A11" s="75" t="s">
        <v>106</v>
      </c>
      <c r="B11" s="75" t="s">
        <v>107</v>
      </c>
      <c r="C11" s="75">
        <v>4</v>
      </c>
      <c r="D11" s="76">
        <v>15000</v>
      </c>
      <c r="E11" s="77">
        <f t="shared" si="0"/>
        <v>60000</v>
      </c>
      <c r="F11" s="75" t="s">
        <v>24</v>
      </c>
      <c r="G11" s="75" t="s">
        <v>89</v>
      </c>
    </row>
    <row r="12" spans="1:7" ht="66" customHeight="1" x14ac:dyDescent="0.3">
      <c r="A12" s="75" t="s">
        <v>108</v>
      </c>
      <c r="B12" s="75" t="s">
        <v>109</v>
      </c>
      <c r="C12" s="75">
        <v>5</v>
      </c>
      <c r="D12" s="76">
        <v>15000</v>
      </c>
      <c r="E12" s="77">
        <f t="shared" si="0"/>
        <v>75000</v>
      </c>
      <c r="F12" s="75" t="s">
        <v>24</v>
      </c>
      <c r="G12" s="75" t="s">
        <v>89</v>
      </c>
    </row>
    <row r="13" spans="1:7" ht="66" customHeight="1" x14ac:dyDescent="0.3">
      <c r="A13" s="75" t="s">
        <v>110</v>
      </c>
      <c r="B13" s="75" t="s">
        <v>111</v>
      </c>
      <c r="C13" s="75">
        <v>3</v>
      </c>
      <c r="D13" s="76">
        <v>15000</v>
      </c>
      <c r="E13" s="77">
        <f t="shared" si="0"/>
        <v>45000</v>
      </c>
      <c r="F13" s="75" t="s">
        <v>24</v>
      </c>
      <c r="G13" s="75" t="s">
        <v>89</v>
      </c>
    </row>
    <row r="14" spans="1:7" ht="66" customHeight="1" x14ac:dyDescent="0.3">
      <c r="A14" s="75" t="s">
        <v>112</v>
      </c>
      <c r="B14" s="75" t="s">
        <v>113</v>
      </c>
      <c r="C14" s="75">
        <v>3</v>
      </c>
      <c r="D14" s="76">
        <v>15000</v>
      </c>
      <c r="E14" s="77">
        <f t="shared" si="0"/>
        <v>45000</v>
      </c>
      <c r="F14" s="75" t="s">
        <v>24</v>
      </c>
      <c r="G14" s="75" t="s">
        <v>89</v>
      </c>
    </row>
    <row r="15" spans="1:7" ht="66" customHeight="1" x14ac:dyDescent="0.3">
      <c r="A15" s="75" t="s">
        <v>114</v>
      </c>
      <c r="B15" s="75" t="s">
        <v>115</v>
      </c>
      <c r="C15" s="75">
        <v>2</v>
      </c>
      <c r="D15" s="76">
        <v>15000</v>
      </c>
      <c r="E15" s="77">
        <f t="shared" si="0"/>
        <v>30000</v>
      </c>
      <c r="F15" s="75" t="s">
        <v>24</v>
      </c>
      <c r="G15" s="75" t="s">
        <v>89</v>
      </c>
    </row>
    <row r="16" spans="1:7" ht="66" customHeight="1" x14ac:dyDescent="0.3">
      <c r="A16" s="75" t="s">
        <v>116</v>
      </c>
      <c r="B16" s="75" t="s">
        <v>117</v>
      </c>
      <c r="C16" s="75">
        <v>3</v>
      </c>
      <c r="D16" s="76">
        <v>15000</v>
      </c>
      <c r="E16" s="77">
        <f t="shared" si="0"/>
        <v>45000</v>
      </c>
      <c r="F16" s="75" t="s">
        <v>24</v>
      </c>
      <c r="G16" s="75" t="s">
        <v>89</v>
      </c>
    </row>
    <row r="17" spans="1:7" ht="66" customHeight="1" x14ac:dyDescent="0.3">
      <c r="A17" s="75" t="s">
        <v>118</v>
      </c>
      <c r="B17" s="75" t="s">
        <v>119</v>
      </c>
      <c r="C17" s="75">
        <v>3</v>
      </c>
      <c r="D17" s="76">
        <v>15000</v>
      </c>
      <c r="E17" s="77">
        <f t="shared" si="0"/>
        <v>45000</v>
      </c>
      <c r="F17" s="75" t="s">
        <v>24</v>
      </c>
      <c r="G17" s="75" t="s">
        <v>89</v>
      </c>
    </row>
    <row r="18" spans="1:7" ht="66" customHeight="1" x14ac:dyDescent="0.3">
      <c r="A18" s="75" t="s">
        <v>120</v>
      </c>
      <c r="B18" s="75" t="s">
        <v>121</v>
      </c>
      <c r="C18" s="75">
        <v>3</v>
      </c>
      <c r="D18" s="76">
        <v>15000</v>
      </c>
      <c r="E18" s="77">
        <f t="shared" si="0"/>
        <v>45000</v>
      </c>
      <c r="F18" s="75" t="s">
        <v>24</v>
      </c>
      <c r="G18" s="75" t="s">
        <v>89</v>
      </c>
    </row>
    <row r="19" spans="1:7" ht="66" customHeight="1" x14ac:dyDescent="0.3">
      <c r="A19" s="75" t="s">
        <v>122</v>
      </c>
      <c r="B19" s="75" t="s">
        <v>123</v>
      </c>
      <c r="C19" s="75">
        <v>3</v>
      </c>
      <c r="D19" s="76">
        <v>15000</v>
      </c>
      <c r="E19" s="77">
        <f t="shared" si="0"/>
        <v>45000</v>
      </c>
      <c r="F19" s="75" t="s">
        <v>24</v>
      </c>
      <c r="G19" s="75" t="s">
        <v>89</v>
      </c>
    </row>
    <row r="20" spans="1:7" ht="66" customHeight="1" x14ac:dyDescent="0.3">
      <c r="A20" s="75" t="s">
        <v>124</v>
      </c>
      <c r="B20" s="75" t="s">
        <v>125</v>
      </c>
      <c r="C20" s="75">
        <v>4</v>
      </c>
      <c r="D20" s="76">
        <v>15000</v>
      </c>
      <c r="E20" s="77">
        <f t="shared" si="0"/>
        <v>60000</v>
      </c>
      <c r="F20" s="75" t="s">
        <v>24</v>
      </c>
      <c r="G20" s="75" t="s">
        <v>89</v>
      </c>
    </row>
    <row r="21" spans="1:7" ht="66" customHeight="1" x14ac:dyDescent="0.3">
      <c r="A21" s="75" t="s">
        <v>126</v>
      </c>
      <c r="B21" s="75" t="s">
        <v>127</v>
      </c>
      <c r="C21" s="75">
        <v>3</v>
      </c>
      <c r="D21" s="76">
        <v>15000</v>
      </c>
      <c r="E21" s="77">
        <f t="shared" si="0"/>
        <v>45000</v>
      </c>
      <c r="F21" s="75" t="s">
        <v>24</v>
      </c>
      <c r="G21" s="75" t="s">
        <v>89</v>
      </c>
    </row>
    <row r="22" spans="1:7" ht="66" customHeight="1" x14ac:dyDescent="0.3">
      <c r="A22" s="75" t="s">
        <v>128</v>
      </c>
      <c r="B22" s="75" t="s">
        <v>129</v>
      </c>
      <c r="C22" s="75">
        <v>2</v>
      </c>
      <c r="D22" s="76">
        <v>15000</v>
      </c>
      <c r="E22" s="77">
        <f t="shared" si="0"/>
        <v>30000</v>
      </c>
      <c r="F22" s="75" t="s">
        <v>24</v>
      </c>
      <c r="G22" s="75" t="s">
        <v>89</v>
      </c>
    </row>
    <row r="23" spans="1:7" ht="66" customHeight="1" x14ac:dyDescent="0.3">
      <c r="A23" s="75" t="s">
        <v>46</v>
      </c>
      <c r="B23" s="75" t="s">
        <v>130</v>
      </c>
      <c r="C23" s="75">
        <v>20</v>
      </c>
      <c r="D23" s="76">
        <v>15000</v>
      </c>
      <c r="E23" s="77">
        <f t="shared" si="0"/>
        <v>300000</v>
      </c>
      <c r="F23" s="75" t="s">
        <v>131</v>
      </c>
      <c r="G23" s="75" t="s">
        <v>89</v>
      </c>
    </row>
    <row r="24" spans="1:7" ht="66" customHeight="1" x14ac:dyDescent="0.3">
      <c r="A24" s="75" t="s">
        <v>49</v>
      </c>
      <c r="B24" s="75" t="s">
        <v>132</v>
      </c>
      <c r="C24" s="75">
        <v>16</v>
      </c>
      <c r="D24" s="76">
        <v>15000</v>
      </c>
      <c r="E24" s="77">
        <f t="shared" si="0"/>
        <v>240000</v>
      </c>
      <c r="F24" s="75" t="s">
        <v>131</v>
      </c>
      <c r="G24" s="75" t="s">
        <v>89</v>
      </c>
    </row>
    <row r="25" spans="1:7" ht="66" customHeight="1" x14ac:dyDescent="0.3">
      <c r="A25" s="75" t="s">
        <v>51</v>
      </c>
      <c r="B25" s="75" t="s">
        <v>133</v>
      </c>
      <c r="C25" s="75">
        <v>11</v>
      </c>
      <c r="D25" s="76">
        <v>15000</v>
      </c>
      <c r="E25" s="77">
        <f t="shared" si="0"/>
        <v>165000</v>
      </c>
      <c r="F25" s="75" t="s">
        <v>131</v>
      </c>
      <c r="G25" s="75" t="s">
        <v>89</v>
      </c>
    </row>
    <row r="26" spans="1:7" ht="66" customHeight="1" x14ac:dyDescent="0.3">
      <c r="A26" s="75" t="s">
        <v>66</v>
      </c>
      <c r="B26" s="75" t="s">
        <v>134</v>
      </c>
      <c r="C26" s="75">
        <f>SUM(C2:C25)</f>
        <v>120</v>
      </c>
      <c r="D26" s="76"/>
      <c r="E26" s="76">
        <f>SUM(E2:E25)</f>
        <v>1800000</v>
      </c>
      <c r="F26" s="75"/>
      <c r="G26" s="75"/>
    </row>
  </sheetData>
  <autoFilter ref="A1:G26" xr:uid="{00000000-0009-0000-0000-000002000000}"/>
  <pageMargins left="0.75" right="0.75" top="1" bottom="1" header="0.5" footer="0.5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9"/>
  <sheetViews>
    <sheetView showGridLines="0" workbookViewId="0">
      <pane ySplit="1" topLeftCell="A2" activePane="bottomLeft" state="frozen"/>
      <selection pane="bottomLeft"/>
    </sheetView>
  </sheetViews>
  <sheetFormatPr baseColWidth="10" defaultColWidth="8.796875" defaultRowHeight="15.6" x14ac:dyDescent="0.3"/>
  <cols>
    <col min="1" max="1" width="14" customWidth="1"/>
    <col min="2" max="2" width="46" customWidth="1"/>
    <col min="3" max="3" width="21" customWidth="1"/>
    <col min="4" max="4" width="29" customWidth="1"/>
    <col min="5" max="5" width="88" customWidth="1"/>
  </cols>
  <sheetData>
    <row r="1" spans="1:5" ht="40.049999999999997" customHeight="1" x14ac:dyDescent="0.3">
      <c r="A1" s="36" t="s">
        <v>135</v>
      </c>
      <c r="B1" s="36" t="s">
        <v>136</v>
      </c>
      <c r="C1" s="36" t="s">
        <v>137</v>
      </c>
      <c r="D1" s="36" t="s">
        <v>138</v>
      </c>
      <c r="E1" s="36" t="s">
        <v>139</v>
      </c>
    </row>
    <row r="2" spans="1:5" ht="66" customHeight="1" x14ac:dyDescent="0.3">
      <c r="A2" s="75" t="s">
        <v>25</v>
      </c>
      <c r="B2" s="75" t="s">
        <v>26</v>
      </c>
      <c r="C2" s="78"/>
      <c r="D2" s="76"/>
      <c r="E2" s="75" t="s">
        <v>167</v>
      </c>
    </row>
    <row r="3" spans="1:5" ht="66" customHeight="1" x14ac:dyDescent="0.3">
      <c r="A3" s="75" t="s">
        <v>28</v>
      </c>
      <c r="B3" s="75" t="s">
        <v>29</v>
      </c>
      <c r="C3" s="78"/>
      <c r="D3" s="76"/>
      <c r="E3" s="75" t="s">
        <v>167</v>
      </c>
    </row>
    <row r="4" spans="1:5" ht="66" customHeight="1" x14ac:dyDescent="0.3">
      <c r="A4" s="75" t="s">
        <v>30</v>
      </c>
      <c r="B4" s="75" t="s">
        <v>31</v>
      </c>
      <c r="C4" s="78"/>
      <c r="D4" s="76"/>
      <c r="E4" s="75" t="s">
        <v>167</v>
      </c>
    </row>
    <row r="5" spans="1:5" ht="66" customHeight="1" x14ac:dyDescent="0.3">
      <c r="A5" s="75" t="s">
        <v>32</v>
      </c>
      <c r="B5" s="75" t="s">
        <v>33</v>
      </c>
      <c r="C5" s="78"/>
      <c r="D5" s="76"/>
      <c r="E5" s="75" t="s">
        <v>167</v>
      </c>
    </row>
    <row r="6" spans="1:5" ht="66" customHeight="1" x14ac:dyDescent="0.3">
      <c r="A6" s="75" t="s">
        <v>34</v>
      </c>
      <c r="B6" s="75" t="s">
        <v>35</v>
      </c>
      <c r="C6" s="78"/>
      <c r="D6" s="76"/>
      <c r="E6" s="75" t="s">
        <v>167</v>
      </c>
    </row>
    <row r="7" spans="1:5" ht="66" customHeight="1" x14ac:dyDescent="0.3">
      <c r="A7" s="75" t="s">
        <v>36</v>
      </c>
      <c r="B7" s="75" t="s">
        <v>37</v>
      </c>
      <c r="C7" s="78"/>
      <c r="D7" s="76"/>
      <c r="E7" s="75" t="s">
        <v>167</v>
      </c>
    </row>
    <row r="8" spans="1:5" ht="66" customHeight="1" x14ac:dyDescent="0.3">
      <c r="A8" s="75" t="s">
        <v>38</v>
      </c>
      <c r="B8" s="75" t="s">
        <v>39</v>
      </c>
      <c r="C8" s="78"/>
      <c r="D8" s="76"/>
      <c r="E8" s="75" t="s">
        <v>167</v>
      </c>
    </row>
    <row r="9" spans="1:5" ht="66" customHeight="1" x14ac:dyDescent="0.3">
      <c r="A9" s="75" t="s">
        <v>40</v>
      </c>
      <c r="B9" s="75" t="s">
        <v>41</v>
      </c>
      <c r="C9" s="78"/>
      <c r="D9" s="76"/>
      <c r="E9" s="75" t="s">
        <v>167</v>
      </c>
    </row>
    <row r="10" spans="1:5" ht="66" customHeight="1" x14ac:dyDescent="0.3">
      <c r="A10" s="75" t="s">
        <v>42</v>
      </c>
      <c r="B10" s="75" t="s">
        <v>43</v>
      </c>
      <c r="C10" s="78"/>
      <c r="D10" s="76"/>
      <c r="E10" s="75" t="s">
        <v>168</v>
      </c>
    </row>
    <row r="11" spans="1:5" ht="66" customHeight="1" x14ac:dyDescent="0.3">
      <c r="A11" s="75" t="s">
        <v>46</v>
      </c>
      <c r="B11" s="75" t="s">
        <v>47</v>
      </c>
      <c r="C11" s="78"/>
      <c r="D11" s="76"/>
      <c r="E11" s="75" t="s">
        <v>169</v>
      </c>
    </row>
    <row r="12" spans="1:5" ht="66" customHeight="1" x14ac:dyDescent="0.3">
      <c r="A12" s="75" t="s">
        <v>49</v>
      </c>
      <c r="B12" s="75" t="s">
        <v>50</v>
      </c>
      <c r="C12" s="78"/>
      <c r="D12" s="76"/>
      <c r="E12" s="75" t="s">
        <v>169</v>
      </c>
    </row>
    <row r="13" spans="1:5" ht="66" customHeight="1" x14ac:dyDescent="0.3">
      <c r="A13" s="75" t="s">
        <v>51</v>
      </c>
      <c r="B13" s="75" t="s">
        <v>52</v>
      </c>
      <c r="C13" s="78"/>
      <c r="D13" s="76"/>
      <c r="E13" s="75" t="s">
        <v>170</v>
      </c>
    </row>
    <row r="14" spans="1:5" ht="66" customHeight="1" x14ac:dyDescent="0.3">
      <c r="A14" s="75" t="s">
        <v>53</v>
      </c>
      <c r="B14" s="75" t="s">
        <v>54</v>
      </c>
      <c r="C14" s="78"/>
      <c r="D14" s="76"/>
      <c r="E14" s="75" t="s">
        <v>171</v>
      </c>
    </row>
    <row r="15" spans="1:5" ht="66" customHeight="1" x14ac:dyDescent="0.3">
      <c r="A15" s="75" t="s">
        <v>56</v>
      </c>
      <c r="B15" s="75" t="s">
        <v>57</v>
      </c>
      <c r="C15" s="78"/>
      <c r="D15" s="76"/>
      <c r="E15" s="75" t="s">
        <v>172</v>
      </c>
    </row>
    <row r="16" spans="1:5" ht="66" customHeight="1" x14ac:dyDescent="0.3">
      <c r="A16" s="75" t="s">
        <v>58</v>
      </c>
      <c r="B16" s="75" t="s">
        <v>59</v>
      </c>
      <c r="C16" s="78"/>
      <c r="D16" s="76"/>
      <c r="E16" s="75" t="s">
        <v>171</v>
      </c>
    </row>
    <row r="17" spans="1:5" ht="66" customHeight="1" x14ac:dyDescent="0.3">
      <c r="A17" s="75" t="s">
        <v>60</v>
      </c>
      <c r="B17" s="75" t="s">
        <v>61</v>
      </c>
      <c r="C17" s="78"/>
      <c r="D17" s="76"/>
      <c r="E17" s="75" t="s">
        <v>173</v>
      </c>
    </row>
    <row r="18" spans="1:5" ht="66" customHeight="1" x14ac:dyDescent="0.3">
      <c r="A18" s="75" t="s">
        <v>62</v>
      </c>
      <c r="B18" s="75" t="s">
        <v>63</v>
      </c>
      <c r="C18" s="78"/>
      <c r="D18" s="76"/>
      <c r="E18" s="75" t="s">
        <v>173</v>
      </c>
    </row>
    <row r="19" spans="1:5" ht="66" customHeight="1" x14ac:dyDescent="0.3">
      <c r="A19" s="75" t="s">
        <v>64</v>
      </c>
      <c r="B19" s="75" t="s">
        <v>65</v>
      </c>
      <c r="C19" s="78"/>
      <c r="D19" s="76"/>
      <c r="E19" s="75" t="s">
        <v>174</v>
      </c>
    </row>
  </sheetData>
  <autoFilter ref="A1:E19" xr:uid="{00000000-0009-0000-0000-000003000000}"/>
  <dataValidations count="1">
    <dataValidation type="decimal" operator="greaterThanOrEqual" allowBlank="1" showErrorMessage="1" error="Ingrese un importe no negativo o deje la celda vacía si no se ha reportado." sqref="D2:D19" xr:uid="{00000000-0002-0000-0300-000000000000}">
      <formula1>0</formula1>
    </dataValidation>
  </dataValidations>
  <pageMargins left="0.75" right="0.75" top="1" bottom="1" header="0.5" footer="0.5"/>
  <pageSetup paperSize="8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16"/>
  <sheetViews>
    <sheetView showGridLines="0" workbookViewId="0">
      <pane ySplit="1" topLeftCell="A2" activePane="bottomLeft" state="frozen"/>
      <selection pane="bottomLeft"/>
    </sheetView>
  </sheetViews>
  <sheetFormatPr baseColWidth="10" defaultColWidth="8.796875" defaultRowHeight="15.6" x14ac:dyDescent="0.3"/>
  <cols>
    <col min="1" max="1" width="35" customWidth="1"/>
    <col min="2" max="2" width="121" customWidth="1"/>
  </cols>
  <sheetData>
    <row r="1" spans="1:2" ht="40.049999999999997" customHeight="1" x14ac:dyDescent="0.3">
      <c r="A1" s="36" t="s">
        <v>140</v>
      </c>
      <c r="B1" s="36" t="s">
        <v>141</v>
      </c>
    </row>
    <row r="2" spans="1:2" ht="79.95" customHeight="1" x14ac:dyDescent="0.3">
      <c r="A2" s="75" t="s">
        <v>142</v>
      </c>
      <c r="B2" s="75" t="s">
        <v>175</v>
      </c>
    </row>
    <row r="3" spans="1:2" ht="79.95" customHeight="1" x14ac:dyDescent="0.3">
      <c r="A3" s="75" t="s">
        <v>143</v>
      </c>
      <c r="B3" s="75" t="s">
        <v>144</v>
      </c>
    </row>
    <row r="4" spans="1:2" ht="79.95" customHeight="1" x14ac:dyDescent="0.3">
      <c r="A4" s="75" t="s">
        <v>145</v>
      </c>
      <c r="B4" s="75" t="s">
        <v>146</v>
      </c>
    </row>
    <row r="5" spans="1:2" ht="79.95" customHeight="1" x14ac:dyDescent="0.3">
      <c r="A5" s="75" t="s">
        <v>24</v>
      </c>
      <c r="B5" s="75" t="s">
        <v>147</v>
      </c>
    </row>
    <row r="6" spans="1:2" ht="79.95" customHeight="1" x14ac:dyDescent="0.3">
      <c r="A6" s="75" t="s">
        <v>148</v>
      </c>
      <c r="B6" s="75" t="s">
        <v>149</v>
      </c>
    </row>
    <row r="7" spans="1:2" ht="79.95" customHeight="1" x14ac:dyDescent="0.3">
      <c r="A7" s="75" t="s">
        <v>150</v>
      </c>
      <c r="B7" s="75" t="s">
        <v>151</v>
      </c>
    </row>
    <row r="8" spans="1:2" ht="79.95" customHeight="1" x14ac:dyDescent="0.3">
      <c r="A8" s="75" t="s">
        <v>152</v>
      </c>
      <c r="B8" s="75" t="s">
        <v>153</v>
      </c>
    </row>
    <row r="9" spans="1:2" ht="79.95" customHeight="1" x14ac:dyDescent="0.3">
      <c r="A9" s="75" t="s">
        <v>154</v>
      </c>
      <c r="B9" s="75" t="s">
        <v>176</v>
      </c>
    </row>
    <row r="10" spans="1:2" ht="79.95" customHeight="1" x14ac:dyDescent="0.3">
      <c r="A10" s="75" t="s">
        <v>155</v>
      </c>
      <c r="B10" s="75" t="s">
        <v>177</v>
      </c>
    </row>
    <row r="11" spans="1:2" ht="79.95" customHeight="1" x14ac:dyDescent="0.3">
      <c r="A11" s="75" t="s">
        <v>156</v>
      </c>
      <c r="B11" s="75" t="s">
        <v>157</v>
      </c>
    </row>
    <row r="12" spans="1:2" ht="79.95" customHeight="1" x14ac:dyDescent="0.3">
      <c r="A12" s="75" t="s">
        <v>158</v>
      </c>
      <c r="B12" s="75" t="s">
        <v>178</v>
      </c>
    </row>
    <row r="13" spans="1:2" ht="79.95" customHeight="1" x14ac:dyDescent="0.3">
      <c r="A13" s="75" t="s">
        <v>159</v>
      </c>
      <c r="B13" s="75" t="s">
        <v>160</v>
      </c>
    </row>
    <row r="14" spans="1:2" ht="79.95" customHeight="1" x14ac:dyDescent="0.3">
      <c r="A14" s="75" t="s">
        <v>161</v>
      </c>
      <c r="B14" s="75" t="s">
        <v>162</v>
      </c>
    </row>
    <row r="15" spans="1:2" ht="79.95" customHeight="1" x14ac:dyDescent="0.3">
      <c r="A15" s="75" t="s">
        <v>163</v>
      </c>
      <c r="B15" s="75" t="s">
        <v>164</v>
      </c>
    </row>
    <row r="16" spans="1:2" ht="79.95" customHeight="1" x14ac:dyDescent="0.3">
      <c r="A16" s="75" t="s">
        <v>165</v>
      </c>
      <c r="B16" s="75" t="s">
        <v>166</v>
      </c>
    </row>
  </sheetData>
  <autoFilter ref="A1:B16" xr:uid="{00000000-0009-0000-0000-000004000000}"/>
  <pageMargins left="0.75" right="0.7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9</vt:i4>
      </vt:variant>
    </vt:vector>
  </HeadingPairs>
  <TitlesOfParts>
    <vt:vector size="14" baseType="lpstr">
      <vt:lpstr>Presupuesto del proyecto</vt:lpstr>
      <vt:lpstr>listas desplegables</vt:lpstr>
      <vt:lpstr>Detalle de esfuerzo</vt:lpstr>
      <vt:lpstr>Registro real</vt:lpstr>
      <vt:lpstr>Criterios del presupuesto</vt:lpstr>
      <vt:lpstr>'Criterios del presupuesto'!Área_de_impresión</vt:lpstr>
      <vt:lpstr>'Detalle de esfuerzo'!Área_de_impresión</vt:lpstr>
      <vt:lpstr>'Presupuesto del proyecto'!Área_de_impresión</vt:lpstr>
      <vt:lpstr>'Registro real'!Área_de_impresión</vt:lpstr>
      <vt:lpstr>Status</vt:lpstr>
      <vt:lpstr>'Criterios del presupuesto'!Títulos_a_imprimir</vt:lpstr>
      <vt:lpstr>'Detalle de esfuerzo'!Títulos_a_imprimir</vt:lpstr>
      <vt:lpstr>'Registro real'!Títulos_a_imprimir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 del Proyecto — Farmaps</dc:title>
  <dc:creator>Juan David Cardozo Prada</dc:creator>
  <dc:description>Presupuesto estimado de COP 1.950.000; 120 horas de trabajo individual; sin ejecución real inventada.</dc:description>
  <cp:lastModifiedBy>Juan David Cardozo Prada</cp:lastModifiedBy>
  <cp:lastPrinted>2022-01-31T23:51:04Z</cp:lastPrinted>
  <dcterms:created xsi:type="dcterms:W3CDTF">2015-08-28T20:34:30Z</dcterms:created>
  <dcterms:modified xsi:type="dcterms:W3CDTF">2026-09-25T15:32:51Z</dcterms:modified>
</cp:coreProperties>
</file>