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Farmaps\1. Introducción\"/>
    </mc:Choice>
  </mc:AlternateContent>
  <xr:revisionPtr revIDLastSave="0" documentId="13_ncr:1_{E189C02B-2BDA-4671-A90E-3F465787C32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a de actividades" sheetId="1" r:id="rId1"/>
    <sheet name="Planificación" sheetId="2" r:id="rId2"/>
    <sheet name="Criterios" sheetId="3" r:id="rId3"/>
  </sheets>
  <definedNames>
    <definedName name="_xlnm._FilterDatabase" localSheetId="0" hidden="1">'Lista de actividades'!$B$3:$M$24</definedName>
    <definedName name="_xlnm._FilterDatabase" localSheetId="1" hidden="1">Planificación!$A$1:$G$22</definedName>
    <definedName name="_xlnm.Print_Area" localSheetId="2">Criterios!$A$1:$B$18</definedName>
    <definedName name="_xlnm.Print_Area" localSheetId="0">'Lista de actividades'!$B$1:$M$25</definedName>
    <definedName name="_xlnm.Print_Area" localSheetId="1">Planificación!$A$1:$G$23</definedName>
    <definedName name="_xlnm.Print_Titles" localSheetId="2">Criterios!$1:$1</definedName>
    <definedName name="_xlnm.Print_Titles" localSheetId="0">'Lista de actividades'!$1:$3</definedName>
    <definedName name="_xlnm.Print_Titles" localSheetId="1">Planificación!$1:$1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1" l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25" i="1" s="1"/>
  <c r="I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Farmaps</author>
  </authors>
  <commentList>
    <comment ref="L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Peso de la actividad dentro del 100 % del desarrollo técnico, proporcional a sus horas estimadas sobre 73 horas. Redondeado a dos decimales porcentuales con ajuste de centésimas para sumar exactamente 100 %. No es avance real ejecutado.</t>
        </r>
      </text>
    </comment>
    <comment ref="M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Suma de los pesos desde A01 hasta esta actividad. Indica el avance previsto si todas esas actividades están terminadas en el orden de la lista; no afirma que ya estén realizadas.</t>
        </r>
      </text>
    </comment>
  </commentList>
</comments>
</file>

<file path=xl/sharedStrings.xml><?xml version="1.0" encoding="utf-8"?>
<sst xmlns="http://schemas.openxmlformats.org/spreadsheetml/2006/main" count="415" uniqueCount="214">
  <si>
    <t>Lista de actividades de desarrollo</t>
  </si>
  <si>
    <t xml:space="preserve">Farmaps </t>
  </si>
  <si>
    <t>ACTIVIDAD</t>
  </si>
  <si>
    <t>ID</t>
  </si>
  <si>
    <t>EDT</t>
  </si>
  <si>
    <t>RECURSOS</t>
  </si>
  <si>
    <t>DESCRIPCIÓN</t>
  </si>
  <si>
    <t>PREDECESORAS</t>
  </si>
  <si>
    <t>SUCESORAS</t>
  </si>
  <si>
    <t>ADELANTO</t>
  </si>
  <si>
    <t>RETRASO</t>
  </si>
  <si>
    <t>RELACIÓN DE PRECEDENCIA</t>
  </si>
  <si>
    <t>% Avance Representativo</t>
  </si>
  <si>
    <t>% Acumulado al completar</t>
  </si>
  <si>
    <t>ESTADO REAL</t>
  </si>
  <si>
    <t>% AVANCE REAL DE LA ACTIVIDAD</t>
  </si>
  <si>
    <t>AVANCE REAL APORTADO</t>
  </si>
  <si>
    <t>EVIDENCIA EN EL PROYECTO</t>
  </si>
  <si>
    <t>PENDIENTE / OBSERVACIÓN</t>
  </si>
  <si>
    <t>Configurar el entorno y el repositorio</t>
  </si>
  <si>
    <t>A01</t>
  </si>
  <si>
    <t>4.1</t>
  </si>
  <si>
    <t>Computador; Visual Studio Code; Firebase CLI; Git</t>
  </si>
  <si>
    <t>Crear el proyecto Firebase farmaps-b3a0c, estructurar carpetas por pantalla (P01-P05, A01-A06), módulos compartidos y archivos de configuración; versionar el código en Git sin secretos.</t>
  </si>
  <si>
    <t>No aplica</t>
  </si>
  <si>
    <t>A02</t>
  </si>
  <si>
    <t>Completada</t>
  </si>
  <si>
    <t>Proyecto Firebase farmaps-b3a0c (.firebaserc, firebase.json, .gitignore); carpetas con el código de cada pantalla P02-P05 y A01-A06 (SC-03), compartido/ y carga-datos/; documentación y evidencias versionadas en GitHub.</t>
  </si>
  <si>
    <t>Implementar la base de datos y sus validaciones</t>
  </si>
  <si>
    <t>4.2</t>
  </si>
  <si>
    <t>Cloud Firestore; reglas de seguridad; editor de código</t>
  </si>
  <si>
    <t>Crear las colecciones farmacias, medicamentos, presentaciones, ofertas y administradores; escribir reglas que validen campos, tipos, coordenadas, precio positivo, moneda COP, referencias, fecha del servidor, responsable e identificador de oferta.</t>
  </si>
  <si>
    <t>A03</t>
  </si>
  <si>
    <t>Fin a inicio (FS)</t>
  </si>
  <si>
    <t>firestore.rules: validaciones por colección, identificador farmacia__presentación__moneda, bloqueo de eliminaciones y denegación por defecto; firestore.indexes.json.</t>
  </si>
  <si>
    <t>Reglas publicadas verificadas en A16 (16 de 16 correctas).</t>
  </si>
  <si>
    <t>Preparar el catálogo de demostración</t>
  </si>
  <si>
    <t>4.3</t>
  </si>
  <si>
    <t>Cloud Firestore; datos semilla</t>
  </si>
  <si>
    <t>Preparar y cargar el catálogo de demostración de Bogotá mediante una herramienta de carga idempotente.</t>
  </si>
  <si>
    <t>A04</t>
  </si>
  <si>
    <t>carga-datos/: 28 farmacias, 34 medicamentos, 50 presentaciones y 742 ofertas (626 disponibles). Supera el mínimo de 5/20/30; integridad verificada en A15 (A15_integridad_datos.txt).</t>
  </si>
  <si>
    <t>Ninguno.</t>
  </si>
  <si>
    <t>Desarrollar consultas y búsqueda de medicamentos</t>
  </si>
  <si>
    <t>4.4</t>
  </si>
  <si>
    <t>Firestore SDK; JavaScript (módulos)</t>
  </si>
  <si>
    <t>Implementar el módulo de datos: catálogo en caché, búsqueda sin tildes por nombre comercial, principio activo o concentración, presentaciones por medicamento y ofertas por presentación.</t>
  </si>
  <si>
    <t>A05</t>
  </si>
  <si>
    <t>compartido/datos.js: obtenerCatalogo, buscarMedicamentos (normalización y puntaje), obtenerFarmacias, obtenerOfertasDePresentacion.</t>
  </si>
  <si>
    <t>Implementar el acceso administrativo</t>
  </si>
  <si>
    <t>4.5</t>
  </si>
  <si>
    <t>Firebase Authentication; Firestore</t>
  </si>
  <si>
    <t>Implementar el acceso administrativo con correo y contraseña, verificar el perfil en administradores/{uid}, usar persistencia de sesión del navegador, mensajes genéricos y cierre de sesión.</t>
  </si>
  <si>
    <t>A06</t>
  </si>
  <si>
    <t>A01 y compartido/sesion.js: signInWithEmailAndPassword, browserSessionPersistence, exigirAdministrador, redirección segura y cierre de sesión.</t>
  </si>
  <si>
    <t>Cambiar la contraseña del administrador y deshabilitar el registro público (SC-06, A20).</t>
  </si>
  <si>
    <t>Implementar la gestión del catálogo</t>
  </si>
  <si>
    <t>4.6</t>
  </si>
  <si>
    <t>Firestore; editor de código</t>
  </si>
  <si>
    <t>Construir el panel A02 y la gestión A03-A06 de farmacias, medicamentos, presentaciones y ofertas: registrar y actualizar sin eliminar, validar, detectar duplicados y avisar de cambios sin guardar.</t>
  </si>
  <si>
    <t>A07</t>
  </si>
  <si>
    <t>A02 (panel con conteos y revisiones), A03-A06 con formularios, filtros, paginación, detección de duplicados, serverTimestamp y aviso beforeunload.</t>
  </si>
  <si>
    <t>Desarrollar la búsqueda y lista de resultados</t>
  </si>
  <si>
    <t>4.7</t>
  </si>
  <si>
    <t>HTML5; CSS3; JavaScript</t>
  </si>
  <si>
    <t>Construir P01 (inicio y búsqueda con sugerencias), P02 (selección de presentación) y la lista de P03, con estados de carga, vacío y error.</t>
  </si>
  <si>
    <t>A08</t>
  </si>
  <si>
    <t>index.html y script.js (P01), P02/ y lista de P03 con esqueletos de carga y mensajes de búsqueda vacía.</t>
  </si>
  <si>
    <t>Integrar el mapa y las fichas de farmacias</t>
  </si>
  <si>
    <t>5.1</t>
  </si>
  <si>
    <t>Leaflet 1.9.4; OpenStreetMap</t>
  </si>
  <si>
    <t>Mostrar en P03 el mapa con marcadores coherentes con la lista y el detalle de oferta P05 con farmacia, dirección, horario, precio y fecha de actualización; mantener la atribución.</t>
  </si>
  <si>
    <t>A09</t>
  </si>
  <si>
    <t>P03/script.js: mapa Leaflet con teselas OSM, atribución y manejo de tileerror; P05/ con el detalle de oferta.</t>
  </si>
  <si>
    <t>Implementar ubicación y distancia aproximada</t>
  </si>
  <si>
    <t>5.2</t>
  </si>
  <si>
    <t>Geolocation API; Leaflet</t>
  </si>
  <si>
    <t>Construir P04 para obtener la ubicación con consentimiento o seleccionarla en el mapa; calcular la distancia en línea recta (Haversine) sin guardarla en Firestore.</t>
  </si>
  <si>
    <t>A10</t>
  </si>
  <si>
    <t>P04/ y compartido/ubicacion.js: getCurrentPosition, selección manual en el mapa limitada a Bogotá y distancia Haversine. P04 se muestra antes de P03 y el punto se conserva en sessionStorage (SC-02).</t>
  </si>
  <si>
    <t>Ninguno; la documentación se ajustó con SC-02.</t>
  </si>
  <si>
    <t>Implementar comparación y ordenamiento</t>
  </si>
  <si>
    <t>5.3</t>
  </si>
  <si>
    <t>JavaScript; ofertas de prueba</t>
  </si>
  <si>
    <t>Comparar ofertas de la misma presentación y moneda; ordenar por precio o distancia; señalar el menor precio y la farmacia más cercana; separar las ofertas sin disponibilidad.</t>
  </si>
  <si>
    <t>A11</t>
  </si>
  <si>
    <t>P03/script.js y P05/script.js: filtro por moneda, ordenamiento, etiquetas «Menor precio» y «Más cercana», y lista de ofertas sin disponibilidad.</t>
  </si>
  <si>
    <t>Integrar interfaz adaptable y manejo de errores</t>
  </si>
  <si>
    <t>5.4</t>
  </si>
  <si>
    <t>CSS3 (Flexbox, Grid, media queries); navegadores</t>
  </si>
  <si>
    <t>Unificar el diseño adaptable y animado, la accesibilidad y el manejo de errores; mostrar el aviso de confirmación con la farmacia y la página 404.</t>
  </si>
  <si>
    <t>A12</t>
  </si>
  <si>
    <t>Rediseño visual y adaptación a cualquier dispositivo (SC-04); media queries en todas las pantallas; avisos de confirmación en P01, P03 y P05; 404.html; mensajes de error de conexión y de guardado. Avisos de datos simulados retirados (SC-03).</t>
  </si>
  <si>
    <t>Preparar despliegue demostrativo y respaldos</t>
  </si>
  <si>
    <t>5.5</t>
  </si>
  <si>
    <t>Firebase Hosting; Firebase CLI; Firestore</t>
  </si>
  <si>
    <t>Publicar en Firebase Hosting con HTTPS, redirecciones y página 404; definir respaldos del código y de los datos.</t>
  </si>
  <si>
    <t>A13</t>
  </si>
  <si>
    <t>Sitio publicado en https://farmaps-b3a0c.web.app con redirecciones (/seleccion, /comparador, /referencia, /detalle); datos-semilla.js sirve de copia para reconstruir el catálogo.</t>
  </si>
  <si>
    <t>Retirar carga-datos/ del sitio publicado y definir el respaldo de los datos (SC-06, A20-A21).</t>
  </si>
  <si>
    <t>Comprobar la integración del prototipo</t>
  </si>
  <si>
    <t>5.6</t>
  </si>
  <si>
    <t>Sitio publicado; Playwright para Python; Microsoft Edge</t>
  </si>
  <si>
    <t>Recorrer P01→P05 y A01→A06 en el sitio publicado; comprobar que la lista se conserve si falla el mapa, las redirecciones y el bloqueo de pantallas administrativas sin sesión.</t>
  </si>
  <si>
    <t>A14</t>
  </si>
  <si>
    <t>Recorridos P01→P05 y A01→A06 en el sitio publicado, redirecciones y bloqueo sin sesión; registro A13-A19_resultados_automatizados.txt (GitHub JuanCardozo05/Farmaps, DOCUMENTACIÓN/Evidencias_Pruebas).</t>
  </si>
  <si>
    <t>Estabilizar la versión integrada del prototipo</t>
  </si>
  <si>
    <t>5.7</t>
  </si>
  <si>
    <t>Git; editor de código; prototipo</t>
  </si>
  <si>
    <t>Corregir lo encontrado en A13 y los pendientes de A09, A11 y A12; crear en Git la etiqueta de la versión integrada (por ejemplo v0.9).</t>
  </si>
  <si>
    <t>A15</t>
  </si>
  <si>
    <t>Versión integrada congelada; corrección de INC-01 (lecturas desde el servidor, SC-05) publicada en Firebase Hosting.</t>
  </si>
  <si>
    <t>Crear la etiqueta de versión en Git junto con A21.</t>
  </si>
  <si>
    <t>Ejecutar pruebas funcionales y de datos</t>
  </si>
  <si>
    <t>6.2</t>
  </si>
  <si>
    <t>Playwright para Python; Cloud Firestore; matriz de pruebas</t>
  </si>
  <si>
    <t>Ejecutar los casos funcionales previstos; comprobar coincidencias, asociación farmacia-oferta, catálogo mínimo y comparación de la misma presentación y moneda.</t>
  </si>
  <si>
    <t>A16</t>
  </si>
  <si>
    <t>Casos CP-01 a CP-17 aprobados; catálogo sin fallos de integridad (A15_integridad_datos.txt); capturas EV-01 a EV-08, EV-13 y EV-14 (GitHub JuanCardozo05/Farmaps, DOCUMENTACIÓN/Evidencias_Pruebas).</t>
  </si>
  <si>
    <t>Probar distancia, permisos y acceso restringido</t>
  </si>
  <si>
    <t>6.3</t>
  </si>
  <si>
    <t>Playwright; API REST de Firestore; coordenadas conocidas</t>
  </si>
  <si>
    <t>Verificar resultados de distancia con coordenadas conocidas, orden correcto, permiso denegado, selección manual, ausencia de persistencia de ubicación y bloqueo administrativo no autorizado.</t>
  </si>
  <si>
    <t>A17</t>
  </si>
  <si>
    <t>CP-09 a CP-13 (Haversine, permiso denegado y punto manual), AD-01 a AD-08 y 16 de 16 reglas de seguridad (S1-S16); capturas EV-09 a EV-12 y EV-15 a EV-21.</t>
  </si>
  <si>
    <t>El registro de S1-S16 no se guardó por la cuota diaria de Firestore (INC-09); repetirlo si se requiere.</t>
  </si>
  <si>
    <t>Evaluar usabilidad y compatibilidad</t>
  </si>
  <si>
    <t>6.4</t>
  </si>
  <si>
    <t>Microsoft Edge, Google Chrome, Firefox y WebKit (Safari); Playwright</t>
  </si>
  <si>
    <t>Completar búsqueda y detalles a 360 px y 1366 px; comprobar teclado, dos navegadores de escritorio y uno móvil, registrando versiones y evidencias.</t>
  </si>
  <si>
    <t>A18</t>
  </si>
  <si>
    <t>Sin desbordamiento horizontal a 360×800 y 1366×768 en 7 pantallas y en 4 navegadores; capturas EV-22 a EV-26.</t>
  </si>
  <si>
    <t>Firefox presenta demoras intermitentes de Firestore (INC-08).</t>
  </si>
  <si>
    <t>Medir rendimiento y registrar incidencias</t>
  </si>
  <si>
    <t>6.5</t>
  </si>
  <si>
    <t>Playwright; herramientas del navegador; registro de incidencias</t>
  </si>
  <si>
    <t>Medir 10 búsquedas con mapa cargado y conexión estable: al menos 9 deben mostrar lista y marcadores en máximo 3 segundos. Registrar entorno y fallos de red o servicio.</t>
  </si>
  <si>
    <t>A19</t>
  </si>
  <si>
    <t>10 de 10 búsquedas con lista y marcadores en 3 s o menos (RN-01); equipo de prueba registrado; incidencias INC-01 a INC-09.</t>
  </si>
  <si>
    <t>Corregir defectos y ejecutar regresión</t>
  </si>
  <si>
    <t>6.6</t>
  </si>
  <si>
    <t>Editor de código; pruebas; Git</t>
  </si>
  <si>
    <t>Corregir defectos y repetir los casos afectados hasta aprobar al menos 14 de 15 pruebas y el 100 % de las críticas, sin bloqueos críticos ni exposición de credenciales.</t>
  </si>
  <si>
    <t>A20</t>
  </si>
  <si>
    <t>INC-01 corregida y publicada (SC-05); regresión con 15 de 15 casos aprobados y 100 % de los críticos.</t>
  </si>
  <si>
    <t>Realizar ajustes finales y estabilizar la versión</t>
  </si>
  <si>
    <t>6.7</t>
  </si>
  <si>
    <t>Prototipo; incidencias; Git</t>
  </si>
  <si>
    <t>Aplicar los ajustes aprobados en SC-06 (registro público, contraseña del administrador, Analytics, retiro de carga-datos y cuota de Firestore), repetir las pruebas afectadas y congelar una versión demostrable; bloque de reserva sin ampliar el plazo.</t>
  </si>
  <si>
    <t>A21</t>
  </si>
  <si>
    <t>Pendiente</t>
  </si>
  <si>
    <t>—</t>
  </si>
  <si>
    <t>Publicar y respaldar la versión final</t>
  </si>
  <si>
    <t>6.8</t>
  </si>
  <si>
    <t>Firebase Hosting; Firebase CLI; Git y GitHub; Cloud Firestore</t>
  </si>
  <si>
    <t>Desplegar la versión estabilizada con firebase deploy, comprobar HTTPS y los flujos principales, etiquetar la versión final en GitHub y respaldar el código y los datos sin credenciales.</t>
  </si>
  <si>
    <t>TOTAL DEL DESARROLLO</t>
  </si>
  <si>
    <t>AVANCE REAL</t>
  </si>
  <si>
    <t>Actividad</t>
  </si>
  <si>
    <t>Inicio estimado</t>
  </si>
  <si>
    <t>Fin estimado</t>
  </si>
  <si>
    <t>Esfuerzo (h)</t>
  </si>
  <si>
    <t>Responsable</t>
  </si>
  <si>
    <t>Estado real</t>
  </si>
  <si>
    <t>% avance real</t>
  </si>
  <si>
    <t>Juan David Cardozo Prada</t>
  </si>
  <si>
    <t>TOTAL</t>
  </si>
  <si>
    <t>Esfuerzo estimado de las actividades de desarrollo incluidas</t>
  </si>
  <si>
    <t>Avance real</t>
  </si>
  <si>
    <t>Concepto</t>
  </si>
  <si>
    <t>Definición / criterio de planificación</t>
  </si>
  <si>
    <t>Alcance de esta lista</t>
  </si>
  <si>
    <t>Solo programación, configuración técnica, integración, pruebas, correcciones y despliegue de Farmaps. Se excluyen acta, requisitos documentales, EDT, presupuesto, riesgos, diseño documental, manuales, informes, sustentación y entrega administrativa.</t>
  </si>
  <si>
    <t>Avance representativo (peso)</t>
  </si>
  <si>
    <t>La columna L indica qué porcentaje del desarrollo aporta cada actividad al completarse. Los pesos de las 21 actividades suman exactamente 100 %. Este 100 % corresponde al desarrollo técnico incluido en la lista, no al conjunto de documentación y gestión del proyecto.</t>
  </si>
  <si>
    <t>Avance acumulado previsto</t>
  </si>
  <si>
    <t>La columna M suma los pesos desde la primera actividad hasta la actividad de esa fila. Representa cuánto desarrollo se habría completado si se terminaran todas las actividades anteriores y la actual. La última actividad alcanza 100 %. No representa progreso ya ejecutado.</t>
  </si>
  <si>
    <t>Juan David Cardozo Prada es el único ejecutor. Las herramientas listadas no son miembros adicionales del equipo.</t>
  </si>
  <si>
    <t>Relación con el acta</t>
  </si>
  <si>
    <t>Referencia: Acta_de_Constitucion.docx actualizada por el estudiante. Farmaps mantiene las funcionalidades, exclusiones y criterios de calidad del acta. Esta lista no modifica el alcance general del proyecto.</t>
  </si>
  <si>
    <t>Planificación técnica</t>
  </si>
  <si>
    <t>Las fechas se toman del cronograma del proyecto (Cronograma.xlsx, actualizado el 25/09/2026): construcción del 05/10 al 26/10/2026, integración del 27/10 al 11/11/2026, pruebas y correcciones del 12/11 al 20/11/2026, y ajustes finales y publicación el 21 y el 22/11/2026. Son fechas planificadas; parte del desarrollo y las pruebas se ejecutaron antes de su ventana.</t>
  </si>
  <si>
    <t>Plazo global</t>
  </si>
  <si>
    <t>El proyecto completo transcurre del 03/08/2026 al 22/11/2026 (112 días), antes de la última semana de noviembre (RES-02). La gestión, el diseño, el seguimiento y el cierre (M01-M13 y S01-S05) están en el cronograma y quedan fuera de esta lista. La entrega para evaluación académica (M13) está prevista para el 22/11/2026.</t>
  </si>
  <si>
    <t>Esfuerzo estimado</t>
  </si>
  <si>
    <t>Las actividades técnicas seleccionadas suman 73 horas de las 120 horas estimadas para el proyecto completo. Las 47 horas restantes corresponden a actividades excluidas de esta lista. No se cambia el presupuesto del acta ni se presentan horas como ya trabajadas.</t>
  </si>
  <si>
    <t>IDs y códigos EDT</t>
  </si>
  <si>
    <t>IDs consecutivos A01 a A21 para esta lista. Los códigos EDT coinciden con el cronograma: 4.1 a 4.7 (construcción del prototipo), 5.1 a 5.7 (integración) y 6.2 a 6.8 (pruebas, ajustes finales y publicación). El 6.1 corresponde a S04 (casos de prueba), actividad de diseño que no pertenece a esta lista.</t>
  </si>
  <si>
    <t>Dependencias</t>
  </si>
  <si>
    <t>Secuencia fin a inicio (FS) para un único integrante; las dependencias se refieren a los IDs de esta lista. Adelanto y retraso: 0 días calendario de desfase lógico. Las ventanas estimadas no equivalen a jornadas completas ni implican dedicación simultánea.</t>
  </si>
  <si>
    <t>Entradas previas</t>
  </si>
  <si>
    <t>La construcción requiere los requisitos (M02), el diseño (S01-S03 y S05) y los casos de prueba (S04). Figuran como completos en el cronograma, pero pertenecen al trabajo excluido de esta lista.</t>
  </si>
  <si>
    <t>Criterios funcionales</t>
  </si>
  <si>
    <t>Búsqueda por nombre o principio activo, mapa y lista coherentes, comparación de la misma presentación y moneda, distancia en línea recta, ubicación manual y administración restringida. Catálogo mínimo: 5 farmacias, 20 medicamentos y 30 ofertas de demostración.</t>
  </si>
  <si>
    <t>Criterios de calidad</t>
  </si>
  <si>
    <t>Aprobar al menos 14 de 15 pruebas y el 100 % de las críticas; comprobar 360 px y 1366 px, dos navegadores de escritorio y uno móvil. Al menos 9 de 10 búsquedas deben completar lista y marcadores en máximo 3 segundos con mapa cargado y conexión estable.</t>
  </si>
  <si>
    <t>Despliegue y límites</t>
  </si>
  <si>
    <t>Preparar primero el entorno demostrativo y publicar después la versión final corregida. Publicación sujeta a disponibilidad de alojamiento gratuito; cualquier limitación debe indicarse explícitamente. No se incluyen pagos, reservas, domicilios, inventarios reales ni recomendaciones médicas.</t>
  </si>
  <si>
    <t>Base de ponderación</t>
  </si>
  <si>
    <t>Cada peso se calcula según las horas estimadas de la actividad sobre las 73 horas de desarrollo. Se expresan porcentajes con dos decimales y se distribuyen las centésimas de redondeo por mayores restos; en empates se prioriza el orden de la lista. Así, la suma visible es exactamente 100 %. Actividades de igual esfuerzo pueden diferir en 0,01 puntos porcentuales por este ajuste.</t>
  </si>
  <si>
    <t>Actualizado el 25/09/2026 con el cronograma del proyecto y los resultados de las pruebas A13-A19 del 24/09/2026 (GitHub JuanCardozo05/Farmaps, DOCUMENTACIÓN/Evidencias_Pruebas). A01 a A19 están completadas; A20 y A21 quedan pendientes para el 21 y el 22/11/2026. El avance real del desarrollo es la suma de la columna P de la hoja de actividades (93,15 %).</t>
  </si>
  <si>
    <t>Mantenimiento de los porcentajes</t>
  </si>
  <si>
    <t>Estos pesos son valores de planificación calculados con las estimaciones actuales. Si cambian las horas o las actividades, se deben recalcular todos los pesos y acumulados, manteniendo la suma en 100 %. Los porcentajes acumulados solo aplican al orden mostrado.</t>
  </si>
  <si>
    <t>Estado real (columna N)</t>
  </si>
  <si>
    <t>Completada: construida y verificada en el código, el sitio publicado o las pruebas. En curso: construida con pendientes identificados en la columna R. Pendiente: sin evidencia de ejecución. Equivalen a «Completo», «En progreso» y «No Iniciado» del cronograma.</t>
  </si>
  <si>
    <t>% avance real (columna O)</t>
  </si>
  <si>
    <t>Actualizado el 25/09/2026 según el estado del cronograma y las pruebas A13-A19. Los pendientes menores de la columna R (código en GitHub, carga-datos, ajustes de SC-06) se atienden en A20 y A21.</t>
  </si>
  <si>
    <t>Avance real aportado (columna P)</t>
  </si>
  <si>
    <t>Resulta de multiplicar el peso planificado (L) por el % real (O). La suma de P es el avance real del desarrollo y es comparable con el acumulado previsto (M).</t>
  </si>
  <si>
    <t>Cambios respecto al diseño</t>
  </si>
  <si>
    <t>Se usan Firebase Authentication (no hay hash de contraseñas propio), Cloud Firestore, Firebase Hosting, Leaflet 1.9.4 y OpenStreetMap. Se actualizaron los códigos EDT, las fechas, los estados, los recursos y las evidencias según el cronograma y las solicitudes de cambio SC-01 a SC-05. IDs, pesos, dependencias y horas no cambian.</t>
  </si>
  <si>
    <t>Esfuerzo</t>
  </si>
  <si>
    <t>Las 73 horas son estimaciones de planificación. No se registran horas reales porque no hay un registro de tiempo del desarrollo.</t>
  </si>
  <si>
    <t>Revisar Google Analytics frente al texto "Privacidad garantizada" (SC-06, A20).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</si>
</sst>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24"/>
      <color theme="1" tint="0.14999847407452621"/>
      <name val="Century Gothic"/>
      <family val="1"/>
    </font>
    <font>
      <sz val="14"/>
      <color theme="1"/>
      <name val="Century Gothic"/>
      <family val="2"/>
    </font>
    <font>
      <b/>
      <sz val="11"/>
      <color theme="0"/>
      <name val="Century Gothic"/>
      <family val="1"/>
    </font>
    <font>
      <sz val="11"/>
      <color rgb="FF17365D"/>
      <name val="Calibri"/>
    </font>
    <font>
      <b/>
      <sz val="11"/>
      <color rgb="FF17365D"/>
      <name val="Calibri"/>
    </font>
    <font>
      <sz val="11"/>
      <color rgb="FF222222"/>
      <name val="Calibri"/>
    </font>
    <font>
      <b/>
      <sz val="11"/>
      <color rgb="FFFFFFFF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17365D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C8D3DF"/>
      </left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center" vertical="top" wrapText="1"/>
    </xf>
    <xf numFmtId="0" fontId="7" fillId="7" borderId="0" xfId="0" applyFont="1" applyFill="1" applyAlignment="1">
      <alignment vertical="center" wrapText="1"/>
    </xf>
    <xf numFmtId="0" fontId="8" fillId="6" borderId="3" xfId="0" applyFont="1" applyFill="1" applyBorder="1" applyAlignment="1">
      <alignment vertical="top" wrapText="1"/>
    </xf>
    <xf numFmtId="164" fontId="8" fillId="6" borderId="3" xfId="0" applyNumberFormat="1" applyFont="1" applyFill="1" applyBorder="1" applyAlignment="1">
      <alignment vertical="top" wrapText="1"/>
    </xf>
    <xf numFmtId="10" fontId="6" fillId="5" borderId="3" xfId="0" applyNumberFormat="1" applyFont="1" applyFill="1" applyBorder="1" applyAlignment="1">
      <alignment horizontal="center" vertical="top" wrapText="1"/>
    </xf>
    <xf numFmtId="10" fontId="3" fillId="4" borderId="2" xfId="0" applyNumberFormat="1" applyFont="1" applyFill="1" applyBorder="1" applyAlignment="1">
      <alignment horizontal="left" vertical="center" wrapText="1" indent="1"/>
    </xf>
    <xf numFmtId="9" fontId="6" fillId="5" borderId="3" xfId="0" applyNumberFormat="1" applyFont="1" applyFill="1" applyBorder="1" applyAlignment="1">
      <alignment horizontal="left" vertical="top" wrapText="1"/>
    </xf>
    <xf numFmtId="10" fontId="6" fillId="5" borderId="3" xfId="0" applyNumberFormat="1" applyFont="1" applyFill="1" applyBorder="1" applyAlignment="1">
      <alignment horizontal="left" vertical="top" wrapText="1"/>
    </xf>
    <xf numFmtId="9" fontId="8" fillId="6" borderId="3" xfId="0" applyNumberFormat="1" applyFont="1" applyFill="1" applyBorder="1" applyAlignment="1">
      <alignment vertical="top" wrapText="1"/>
    </xf>
    <xf numFmtId="10" fontId="8" fillId="6" borderId="3" xfId="0" applyNumberFormat="1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EDEDED"/>
        </patternFill>
      </fill>
    </dxf>
    <dxf>
      <font>
        <color rgb="FF9C57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39"/>
  <sheetViews>
    <sheetView showGridLines="0" tabSelected="1" zoomScale="75" workbookViewId="0">
      <pane xSplit="5" ySplit="3" topLeftCell="L21" activePane="bottomRight" state="frozen"/>
      <selection pane="topRight"/>
      <selection pane="bottomLeft"/>
      <selection pane="bottomRight" activeCell="Q23" sqref="Q23"/>
    </sheetView>
  </sheetViews>
  <sheetFormatPr baseColWidth="10" defaultColWidth="8.88671875" defaultRowHeight="14.4" x14ac:dyDescent="0.3"/>
  <cols>
    <col min="1" max="1" width="3" customWidth="1"/>
    <col min="2" max="2" width="36" customWidth="1"/>
    <col min="3" max="4" width="10" customWidth="1"/>
    <col min="5" max="5" width="34" customWidth="1"/>
    <col min="6" max="6" width="48.21875" customWidth="1"/>
    <col min="7" max="7" width="20" customWidth="1"/>
    <col min="8" max="8" width="15.33203125" customWidth="1"/>
    <col min="9" max="9" width="13.88671875" customWidth="1"/>
    <col min="10" max="10" width="12" customWidth="1"/>
    <col min="11" max="11" width="19" customWidth="1"/>
    <col min="12" max="12" width="18" customWidth="1"/>
    <col min="13" max="13" width="21" customWidth="1"/>
    <col min="14" max="14" width="14" customWidth="1"/>
    <col min="15" max="15" width="16" customWidth="1"/>
    <col min="16" max="16" width="15" customWidth="1"/>
    <col min="17" max="17" width="48" customWidth="1"/>
    <col min="18" max="18" width="44" customWidth="1"/>
  </cols>
  <sheetData>
    <row r="1" spans="2:18" ht="40.049999999999997" customHeight="1" x14ac:dyDescent="0.3">
      <c r="B1" s="1" t="s">
        <v>0</v>
      </c>
      <c r="C1" s="1"/>
    </row>
    <row r="2" spans="2:18" ht="28.05" customHeight="1" x14ac:dyDescent="0.3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18" ht="43.95" customHeight="1" x14ac:dyDescent="0.3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2:18" ht="108" customHeight="1" x14ac:dyDescent="0.3">
      <c r="B4" s="4" t="s">
        <v>19</v>
      </c>
      <c r="C4" s="5" t="s">
        <v>20</v>
      </c>
      <c r="D4" s="6" t="s">
        <v>21</v>
      </c>
      <c r="E4" s="7" t="s">
        <v>22</v>
      </c>
      <c r="F4" s="7" t="s">
        <v>23</v>
      </c>
      <c r="G4" s="8" t="s">
        <v>24</v>
      </c>
      <c r="H4" s="8" t="s">
        <v>25</v>
      </c>
      <c r="I4" s="8">
        <v>0</v>
      </c>
      <c r="J4" s="8">
        <v>0</v>
      </c>
      <c r="K4" s="8" t="s">
        <v>24</v>
      </c>
      <c r="L4" s="12">
        <v>2.7400000000000001E-2</v>
      </c>
      <c r="M4" s="12">
        <v>2.7400000000000001E-2</v>
      </c>
      <c r="N4" s="7" t="s">
        <v>26</v>
      </c>
      <c r="O4" s="14">
        <v>1</v>
      </c>
      <c r="P4" s="15">
        <f t="shared" ref="P4:P24" si="0">L4*O4</f>
        <v>2.7400000000000001E-2</v>
      </c>
      <c r="Q4" s="7" t="s">
        <v>27</v>
      </c>
      <c r="R4" s="7" t="s">
        <v>42</v>
      </c>
    </row>
    <row r="5" spans="2:18" ht="108" customHeight="1" x14ac:dyDescent="0.3">
      <c r="B5" s="4" t="s">
        <v>28</v>
      </c>
      <c r="C5" s="5" t="s">
        <v>25</v>
      </c>
      <c r="D5" s="6" t="s">
        <v>29</v>
      </c>
      <c r="E5" s="7" t="s">
        <v>30</v>
      </c>
      <c r="F5" s="7" t="s">
        <v>31</v>
      </c>
      <c r="G5" s="8" t="s">
        <v>20</v>
      </c>
      <c r="H5" s="8" t="s">
        <v>32</v>
      </c>
      <c r="I5" s="8">
        <v>0</v>
      </c>
      <c r="J5" s="8">
        <v>0</v>
      </c>
      <c r="K5" s="8" t="s">
        <v>33</v>
      </c>
      <c r="L5" s="12">
        <v>5.4800000000000001E-2</v>
      </c>
      <c r="M5" s="12">
        <v>8.2199999999999995E-2</v>
      </c>
      <c r="N5" s="7" t="s">
        <v>26</v>
      </c>
      <c r="O5" s="14">
        <v>1</v>
      </c>
      <c r="P5" s="15">
        <f t="shared" si="0"/>
        <v>5.4800000000000001E-2</v>
      </c>
      <c r="Q5" s="7" t="s">
        <v>34</v>
      </c>
      <c r="R5" s="7" t="s">
        <v>35</v>
      </c>
    </row>
    <row r="6" spans="2:18" ht="108" customHeight="1" x14ac:dyDescent="0.3">
      <c r="B6" s="4" t="s">
        <v>36</v>
      </c>
      <c r="C6" s="5" t="s">
        <v>32</v>
      </c>
      <c r="D6" s="6" t="s">
        <v>37</v>
      </c>
      <c r="E6" s="7" t="s">
        <v>38</v>
      </c>
      <c r="F6" s="7" t="s">
        <v>39</v>
      </c>
      <c r="G6" s="8" t="s">
        <v>25</v>
      </c>
      <c r="H6" s="8" t="s">
        <v>40</v>
      </c>
      <c r="I6" s="8">
        <v>0</v>
      </c>
      <c r="J6" s="8">
        <v>0</v>
      </c>
      <c r="K6" s="8" t="s">
        <v>33</v>
      </c>
      <c r="L6" s="12">
        <v>4.1099999999999998E-2</v>
      </c>
      <c r="M6" s="12">
        <v>0.12330000000000001</v>
      </c>
      <c r="N6" s="7" t="s">
        <v>26</v>
      </c>
      <c r="O6" s="14">
        <v>1</v>
      </c>
      <c r="P6" s="15">
        <f t="shared" si="0"/>
        <v>4.1099999999999998E-2</v>
      </c>
      <c r="Q6" s="7" t="s">
        <v>41</v>
      </c>
      <c r="R6" s="7" t="s">
        <v>42</v>
      </c>
    </row>
    <row r="7" spans="2:18" ht="108" customHeight="1" x14ac:dyDescent="0.3">
      <c r="B7" s="4" t="s">
        <v>43</v>
      </c>
      <c r="C7" s="5" t="s">
        <v>40</v>
      </c>
      <c r="D7" s="6" t="s">
        <v>44</v>
      </c>
      <c r="E7" s="7" t="s">
        <v>45</v>
      </c>
      <c r="F7" s="7" t="s">
        <v>46</v>
      </c>
      <c r="G7" s="8" t="s">
        <v>32</v>
      </c>
      <c r="H7" s="8" t="s">
        <v>47</v>
      </c>
      <c r="I7" s="8">
        <v>0</v>
      </c>
      <c r="J7" s="8">
        <v>0</v>
      </c>
      <c r="K7" s="8" t="s">
        <v>33</v>
      </c>
      <c r="L7" s="12">
        <v>8.2100000000000006E-2</v>
      </c>
      <c r="M7" s="12">
        <v>0.2054</v>
      </c>
      <c r="N7" s="7" t="s">
        <v>26</v>
      </c>
      <c r="O7" s="14">
        <v>1</v>
      </c>
      <c r="P7" s="15">
        <f t="shared" si="0"/>
        <v>8.2100000000000006E-2</v>
      </c>
      <c r="Q7" s="7" t="s">
        <v>48</v>
      </c>
      <c r="R7" s="7" t="s">
        <v>42</v>
      </c>
    </row>
    <row r="8" spans="2:18" ht="108" customHeight="1" x14ac:dyDescent="0.3">
      <c r="B8" s="4" t="s">
        <v>49</v>
      </c>
      <c r="C8" s="5" t="s">
        <v>47</v>
      </c>
      <c r="D8" s="6" t="s">
        <v>50</v>
      </c>
      <c r="E8" s="7" t="s">
        <v>51</v>
      </c>
      <c r="F8" s="7" t="s">
        <v>52</v>
      </c>
      <c r="G8" s="8" t="s">
        <v>40</v>
      </c>
      <c r="H8" s="8" t="s">
        <v>53</v>
      </c>
      <c r="I8" s="8">
        <v>0</v>
      </c>
      <c r="J8" s="8">
        <v>0</v>
      </c>
      <c r="K8" s="8" t="s">
        <v>33</v>
      </c>
      <c r="L8" s="12">
        <v>4.1099999999999998E-2</v>
      </c>
      <c r="M8" s="12">
        <v>0.2465</v>
      </c>
      <c r="N8" s="7" t="s">
        <v>26</v>
      </c>
      <c r="O8" s="14">
        <v>1</v>
      </c>
      <c r="P8" s="15">
        <f t="shared" si="0"/>
        <v>4.1099999999999998E-2</v>
      </c>
      <c r="Q8" s="7" t="s">
        <v>54</v>
      </c>
      <c r="R8" s="7" t="s">
        <v>55</v>
      </c>
    </row>
    <row r="9" spans="2:18" ht="108" customHeight="1" x14ac:dyDescent="0.3">
      <c r="B9" s="4" t="s">
        <v>56</v>
      </c>
      <c r="C9" s="5" t="s">
        <v>53</v>
      </c>
      <c r="D9" s="6" t="s">
        <v>57</v>
      </c>
      <c r="E9" s="7" t="s">
        <v>58</v>
      </c>
      <c r="F9" s="7" t="s">
        <v>59</v>
      </c>
      <c r="G9" s="8" t="s">
        <v>47</v>
      </c>
      <c r="H9" s="8" t="s">
        <v>60</v>
      </c>
      <c r="I9" s="8">
        <v>0</v>
      </c>
      <c r="J9" s="8">
        <v>0</v>
      </c>
      <c r="K9" s="8" t="s">
        <v>33</v>
      </c>
      <c r="L9" s="12">
        <v>5.4800000000000001E-2</v>
      </c>
      <c r="M9" s="12">
        <v>0.30130000000000001</v>
      </c>
      <c r="N9" s="7" t="s">
        <v>26</v>
      </c>
      <c r="O9" s="14">
        <v>1</v>
      </c>
      <c r="P9" s="15">
        <f t="shared" si="0"/>
        <v>5.4800000000000001E-2</v>
      </c>
      <c r="Q9" s="7" t="s">
        <v>61</v>
      </c>
      <c r="R9" s="7" t="s">
        <v>42</v>
      </c>
    </row>
    <row r="10" spans="2:18" ht="108" customHeight="1" x14ac:dyDescent="0.3">
      <c r="B10" s="4" t="s">
        <v>62</v>
      </c>
      <c r="C10" s="5" t="s">
        <v>60</v>
      </c>
      <c r="D10" s="6" t="s">
        <v>63</v>
      </c>
      <c r="E10" s="7" t="s">
        <v>64</v>
      </c>
      <c r="F10" s="7" t="s">
        <v>65</v>
      </c>
      <c r="G10" s="8" t="s">
        <v>53</v>
      </c>
      <c r="H10" s="8" t="s">
        <v>66</v>
      </c>
      <c r="I10" s="8">
        <v>0</v>
      </c>
      <c r="J10" s="8">
        <v>0</v>
      </c>
      <c r="K10" s="8" t="s">
        <v>33</v>
      </c>
      <c r="L10" s="12">
        <v>5.4800000000000001E-2</v>
      </c>
      <c r="M10" s="12">
        <v>0.35610000000000003</v>
      </c>
      <c r="N10" s="7" t="s">
        <v>26</v>
      </c>
      <c r="O10" s="14">
        <v>1</v>
      </c>
      <c r="P10" s="15">
        <f t="shared" si="0"/>
        <v>5.4800000000000001E-2</v>
      </c>
      <c r="Q10" s="7" t="s">
        <v>67</v>
      </c>
      <c r="R10" s="7" t="s">
        <v>42</v>
      </c>
    </row>
    <row r="11" spans="2:18" ht="108" customHeight="1" x14ac:dyDescent="0.3">
      <c r="B11" s="4" t="s">
        <v>68</v>
      </c>
      <c r="C11" s="5" t="s">
        <v>66</v>
      </c>
      <c r="D11" s="6" t="s">
        <v>69</v>
      </c>
      <c r="E11" s="7" t="s">
        <v>70</v>
      </c>
      <c r="F11" s="7" t="s">
        <v>71</v>
      </c>
      <c r="G11" s="8" t="s">
        <v>60</v>
      </c>
      <c r="H11" s="8" t="s">
        <v>72</v>
      </c>
      <c r="I11" s="8">
        <v>0</v>
      </c>
      <c r="J11" s="8">
        <v>0</v>
      </c>
      <c r="K11" s="8" t="s">
        <v>33</v>
      </c>
      <c r="L11" s="12">
        <v>5.4800000000000001E-2</v>
      </c>
      <c r="M11" s="12">
        <v>0.41089999999999999</v>
      </c>
      <c r="N11" s="7" t="s">
        <v>26</v>
      </c>
      <c r="O11" s="14">
        <v>1</v>
      </c>
      <c r="P11" s="15">
        <f t="shared" si="0"/>
        <v>5.4800000000000001E-2</v>
      </c>
      <c r="Q11" s="7" t="s">
        <v>73</v>
      </c>
      <c r="R11" s="7" t="s">
        <v>42</v>
      </c>
    </row>
    <row r="12" spans="2:18" ht="108" customHeight="1" x14ac:dyDescent="0.3">
      <c r="B12" s="4" t="s">
        <v>74</v>
      </c>
      <c r="C12" s="5" t="s">
        <v>72</v>
      </c>
      <c r="D12" s="6" t="s">
        <v>75</v>
      </c>
      <c r="E12" s="7" t="s">
        <v>76</v>
      </c>
      <c r="F12" s="7" t="s">
        <v>77</v>
      </c>
      <c r="G12" s="8" t="s">
        <v>66</v>
      </c>
      <c r="H12" s="8" t="s">
        <v>78</v>
      </c>
      <c r="I12" s="8">
        <v>0</v>
      </c>
      <c r="J12" s="8">
        <v>0</v>
      </c>
      <c r="K12" s="8" t="s">
        <v>33</v>
      </c>
      <c r="L12" s="12">
        <v>6.8500000000000005E-2</v>
      </c>
      <c r="M12" s="12">
        <v>0.47939999999999999</v>
      </c>
      <c r="N12" s="7" t="s">
        <v>26</v>
      </c>
      <c r="O12" s="14">
        <v>1</v>
      </c>
      <c r="P12" s="15">
        <f t="shared" si="0"/>
        <v>6.8500000000000005E-2</v>
      </c>
      <c r="Q12" s="7" t="s">
        <v>79</v>
      </c>
      <c r="R12" s="7" t="s">
        <v>80</v>
      </c>
    </row>
    <row r="13" spans="2:18" ht="108" customHeight="1" x14ac:dyDescent="0.3">
      <c r="B13" s="4" t="s">
        <v>81</v>
      </c>
      <c r="C13" s="5" t="s">
        <v>78</v>
      </c>
      <c r="D13" s="6" t="s">
        <v>82</v>
      </c>
      <c r="E13" s="7" t="s">
        <v>83</v>
      </c>
      <c r="F13" s="7" t="s">
        <v>84</v>
      </c>
      <c r="G13" s="8" t="s">
        <v>72</v>
      </c>
      <c r="H13" s="8" t="s">
        <v>85</v>
      </c>
      <c r="I13" s="8">
        <v>0</v>
      </c>
      <c r="J13" s="8">
        <v>0</v>
      </c>
      <c r="K13" s="8" t="s">
        <v>33</v>
      </c>
      <c r="L13" s="12">
        <v>5.4800000000000001E-2</v>
      </c>
      <c r="M13" s="12">
        <v>0.53420000000000001</v>
      </c>
      <c r="N13" s="7" t="s">
        <v>26</v>
      </c>
      <c r="O13" s="14">
        <v>1</v>
      </c>
      <c r="P13" s="15">
        <f t="shared" si="0"/>
        <v>5.4800000000000001E-2</v>
      </c>
      <c r="Q13" s="7" t="s">
        <v>86</v>
      </c>
      <c r="R13" s="7" t="s">
        <v>42</v>
      </c>
    </row>
    <row r="14" spans="2:18" ht="108" customHeight="1" x14ac:dyDescent="0.3">
      <c r="B14" s="4" t="s">
        <v>87</v>
      </c>
      <c r="C14" s="5" t="s">
        <v>85</v>
      </c>
      <c r="D14" s="6" t="s">
        <v>88</v>
      </c>
      <c r="E14" s="7" t="s">
        <v>89</v>
      </c>
      <c r="F14" s="7" t="s">
        <v>90</v>
      </c>
      <c r="G14" s="8" t="s">
        <v>78</v>
      </c>
      <c r="H14" s="8" t="s">
        <v>91</v>
      </c>
      <c r="I14" s="8">
        <v>0</v>
      </c>
      <c r="J14" s="8">
        <v>0</v>
      </c>
      <c r="K14" s="8" t="s">
        <v>33</v>
      </c>
      <c r="L14" s="12">
        <v>6.8500000000000005E-2</v>
      </c>
      <c r="M14" s="12">
        <v>0.60270000000000001</v>
      </c>
      <c r="N14" s="7" t="s">
        <v>26</v>
      </c>
      <c r="O14" s="14">
        <v>1</v>
      </c>
      <c r="P14" s="15">
        <f t="shared" si="0"/>
        <v>6.8500000000000005E-2</v>
      </c>
      <c r="Q14" s="7" t="s">
        <v>92</v>
      </c>
      <c r="R14" s="7" t="s">
        <v>213</v>
      </c>
    </row>
    <row r="15" spans="2:18" ht="108" customHeight="1" x14ac:dyDescent="0.3">
      <c r="B15" s="4" t="s">
        <v>93</v>
      </c>
      <c r="C15" s="5" t="s">
        <v>91</v>
      </c>
      <c r="D15" s="6" t="s">
        <v>94</v>
      </c>
      <c r="E15" s="7" t="s">
        <v>95</v>
      </c>
      <c r="F15" s="7" t="s">
        <v>96</v>
      </c>
      <c r="G15" s="8" t="s">
        <v>85</v>
      </c>
      <c r="H15" s="8" t="s">
        <v>97</v>
      </c>
      <c r="I15" s="8">
        <v>0</v>
      </c>
      <c r="J15" s="8">
        <v>0</v>
      </c>
      <c r="K15" s="8" t="s">
        <v>33</v>
      </c>
      <c r="L15" s="12">
        <v>4.1099999999999998E-2</v>
      </c>
      <c r="M15" s="12">
        <v>0.64380000000000004</v>
      </c>
      <c r="N15" s="7" t="s">
        <v>26</v>
      </c>
      <c r="O15" s="14">
        <v>1</v>
      </c>
      <c r="P15" s="15">
        <f t="shared" si="0"/>
        <v>4.1099999999999998E-2</v>
      </c>
      <c r="Q15" s="7" t="s">
        <v>98</v>
      </c>
      <c r="R15" s="7" t="s">
        <v>99</v>
      </c>
    </row>
    <row r="16" spans="2:18" ht="108" customHeight="1" x14ac:dyDescent="0.3">
      <c r="B16" s="4" t="s">
        <v>100</v>
      </c>
      <c r="C16" s="5" t="s">
        <v>97</v>
      </c>
      <c r="D16" s="6" t="s">
        <v>101</v>
      </c>
      <c r="E16" s="7" t="s">
        <v>102</v>
      </c>
      <c r="F16" s="7" t="s">
        <v>103</v>
      </c>
      <c r="G16" s="8" t="s">
        <v>91</v>
      </c>
      <c r="H16" s="8" t="s">
        <v>104</v>
      </c>
      <c r="I16" s="8">
        <v>0</v>
      </c>
      <c r="J16" s="8">
        <v>0</v>
      </c>
      <c r="K16" s="8" t="s">
        <v>33</v>
      </c>
      <c r="L16" s="12">
        <v>4.1099999999999998E-2</v>
      </c>
      <c r="M16" s="12">
        <v>0.68489999999999995</v>
      </c>
      <c r="N16" s="7" t="s">
        <v>26</v>
      </c>
      <c r="O16" s="14">
        <v>1</v>
      </c>
      <c r="P16" s="15">
        <f t="shared" si="0"/>
        <v>4.1099999999999998E-2</v>
      </c>
      <c r="Q16" s="7" t="s">
        <v>105</v>
      </c>
      <c r="R16" s="7" t="s">
        <v>42</v>
      </c>
    </row>
    <row r="17" spans="2:18" ht="108" customHeight="1" x14ac:dyDescent="0.3">
      <c r="B17" s="4" t="s">
        <v>106</v>
      </c>
      <c r="C17" s="5" t="s">
        <v>104</v>
      </c>
      <c r="D17" s="6" t="s">
        <v>107</v>
      </c>
      <c r="E17" s="7" t="s">
        <v>108</v>
      </c>
      <c r="F17" s="7" t="s">
        <v>109</v>
      </c>
      <c r="G17" s="8" t="s">
        <v>97</v>
      </c>
      <c r="H17" s="8" t="s">
        <v>110</v>
      </c>
      <c r="I17" s="8">
        <v>0</v>
      </c>
      <c r="J17" s="8">
        <v>0</v>
      </c>
      <c r="K17" s="8" t="s">
        <v>33</v>
      </c>
      <c r="L17" s="12">
        <v>2.7400000000000001E-2</v>
      </c>
      <c r="M17" s="12">
        <v>0.71230000000000004</v>
      </c>
      <c r="N17" s="7" t="s">
        <v>26</v>
      </c>
      <c r="O17" s="14">
        <v>1</v>
      </c>
      <c r="P17" s="15">
        <f t="shared" si="0"/>
        <v>2.7400000000000001E-2</v>
      </c>
      <c r="Q17" s="7" t="s">
        <v>111</v>
      </c>
      <c r="R17" s="7" t="s">
        <v>112</v>
      </c>
    </row>
    <row r="18" spans="2:18" ht="108" customHeight="1" x14ac:dyDescent="0.3">
      <c r="B18" s="4" t="s">
        <v>113</v>
      </c>
      <c r="C18" s="5" t="s">
        <v>110</v>
      </c>
      <c r="D18" s="6" t="s">
        <v>114</v>
      </c>
      <c r="E18" s="7" t="s">
        <v>115</v>
      </c>
      <c r="F18" s="7" t="s">
        <v>116</v>
      </c>
      <c r="G18" s="8" t="s">
        <v>104</v>
      </c>
      <c r="H18" s="8" t="s">
        <v>117</v>
      </c>
      <c r="I18" s="8">
        <v>0</v>
      </c>
      <c r="J18" s="8">
        <v>0</v>
      </c>
      <c r="K18" s="8" t="s">
        <v>33</v>
      </c>
      <c r="L18" s="12">
        <v>4.1099999999999998E-2</v>
      </c>
      <c r="M18" s="12">
        <v>0.75339999999999996</v>
      </c>
      <c r="N18" s="7" t="s">
        <v>26</v>
      </c>
      <c r="O18" s="14">
        <v>1</v>
      </c>
      <c r="P18" s="15">
        <f t="shared" si="0"/>
        <v>4.1099999999999998E-2</v>
      </c>
      <c r="Q18" s="7" t="s">
        <v>118</v>
      </c>
      <c r="R18" s="7" t="s">
        <v>42</v>
      </c>
    </row>
    <row r="19" spans="2:18" ht="108" customHeight="1" x14ac:dyDescent="0.3">
      <c r="B19" s="4" t="s">
        <v>119</v>
      </c>
      <c r="C19" s="5" t="s">
        <v>117</v>
      </c>
      <c r="D19" s="6" t="s">
        <v>120</v>
      </c>
      <c r="E19" s="7" t="s">
        <v>121</v>
      </c>
      <c r="F19" s="7" t="s">
        <v>122</v>
      </c>
      <c r="G19" s="8" t="s">
        <v>110</v>
      </c>
      <c r="H19" s="8" t="s">
        <v>123</v>
      </c>
      <c r="I19" s="8">
        <v>0</v>
      </c>
      <c r="J19" s="8">
        <v>0</v>
      </c>
      <c r="K19" s="8" t="s">
        <v>33</v>
      </c>
      <c r="L19" s="12">
        <v>4.1099999999999998E-2</v>
      </c>
      <c r="M19" s="12">
        <v>0.79449999999999998</v>
      </c>
      <c r="N19" s="7" t="s">
        <v>26</v>
      </c>
      <c r="O19" s="14">
        <v>1</v>
      </c>
      <c r="P19" s="15">
        <f t="shared" si="0"/>
        <v>4.1099999999999998E-2</v>
      </c>
      <c r="Q19" s="7" t="s">
        <v>124</v>
      </c>
      <c r="R19" s="7" t="s">
        <v>125</v>
      </c>
    </row>
    <row r="20" spans="2:18" ht="108" customHeight="1" x14ac:dyDescent="0.3">
      <c r="B20" s="4" t="s">
        <v>126</v>
      </c>
      <c r="C20" s="5" t="s">
        <v>123</v>
      </c>
      <c r="D20" s="6" t="s">
        <v>127</v>
      </c>
      <c r="E20" s="7" t="s">
        <v>128</v>
      </c>
      <c r="F20" s="7" t="s">
        <v>129</v>
      </c>
      <c r="G20" s="8" t="s">
        <v>117</v>
      </c>
      <c r="H20" s="8" t="s">
        <v>130</v>
      </c>
      <c r="I20" s="8">
        <v>0</v>
      </c>
      <c r="J20" s="8">
        <v>0</v>
      </c>
      <c r="K20" s="8" t="s">
        <v>33</v>
      </c>
      <c r="L20" s="12">
        <v>4.1099999999999998E-2</v>
      </c>
      <c r="M20" s="12">
        <v>0.83560000000000001</v>
      </c>
      <c r="N20" s="7" t="s">
        <v>26</v>
      </c>
      <c r="O20" s="14">
        <v>1</v>
      </c>
      <c r="P20" s="15">
        <f t="shared" si="0"/>
        <v>4.1099999999999998E-2</v>
      </c>
      <c r="Q20" s="7" t="s">
        <v>131</v>
      </c>
      <c r="R20" s="7" t="s">
        <v>132</v>
      </c>
    </row>
    <row r="21" spans="2:18" ht="108" customHeight="1" x14ac:dyDescent="0.3">
      <c r="B21" s="4" t="s">
        <v>133</v>
      </c>
      <c r="C21" s="5" t="s">
        <v>130</v>
      </c>
      <c r="D21" s="6" t="s">
        <v>134</v>
      </c>
      <c r="E21" s="7" t="s">
        <v>135</v>
      </c>
      <c r="F21" s="7" t="s">
        <v>136</v>
      </c>
      <c r="G21" s="8" t="s">
        <v>123</v>
      </c>
      <c r="H21" s="8" t="s">
        <v>137</v>
      </c>
      <c r="I21" s="8">
        <v>0</v>
      </c>
      <c r="J21" s="8">
        <v>0</v>
      </c>
      <c r="K21" s="8" t="s">
        <v>33</v>
      </c>
      <c r="L21" s="12">
        <v>4.1099999999999998E-2</v>
      </c>
      <c r="M21" s="12">
        <v>0.87670000000000003</v>
      </c>
      <c r="N21" s="7" t="s">
        <v>26</v>
      </c>
      <c r="O21" s="14">
        <v>1</v>
      </c>
      <c r="P21" s="15">
        <f t="shared" si="0"/>
        <v>4.1099999999999998E-2</v>
      </c>
      <c r="Q21" s="7" t="s">
        <v>138</v>
      </c>
      <c r="R21" s="7" t="s">
        <v>42</v>
      </c>
    </row>
    <row r="22" spans="2:18" ht="108" customHeight="1" x14ac:dyDescent="0.3">
      <c r="B22" s="4" t="s">
        <v>139</v>
      </c>
      <c r="C22" s="5" t="s">
        <v>137</v>
      </c>
      <c r="D22" s="6" t="s">
        <v>140</v>
      </c>
      <c r="E22" s="7" t="s">
        <v>141</v>
      </c>
      <c r="F22" s="7" t="s">
        <v>142</v>
      </c>
      <c r="G22" s="8" t="s">
        <v>130</v>
      </c>
      <c r="H22" s="8" t="s">
        <v>143</v>
      </c>
      <c r="I22" s="8">
        <v>0</v>
      </c>
      <c r="J22" s="8">
        <v>0</v>
      </c>
      <c r="K22" s="8" t="s">
        <v>33</v>
      </c>
      <c r="L22" s="12">
        <v>5.4800000000000001E-2</v>
      </c>
      <c r="M22" s="12">
        <v>0.93149999999999999</v>
      </c>
      <c r="N22" s="7" t="s">
        <v>26</v>
      </c>
      <c r="O22" s="14">
        <v>1</v>
      </c>
      <c r="P22" s="15">
        <f t="shared" si="0"/>
        <v>5.4800000000000001E-2</v>
      </c>
      <c r="Q22" s="7" t="s">
        <v>144</v>
      </c>
      <c r="R22" s="7" t="s">
        <v>42</v>
      </c>
    </row>
    <row r="23" spans="2:18" ht="108" customHeight="1" x14ac:dyDescent="0.3">
      <c r="B23" s="4" t="s">
        <v>145</v>
      </c>
      <c r="C23" s="5" t="s">
        <v>143</v>
      </c>
      <c r="D23" s="6" t="s">
        <v>146</v>
      </c>
      <c r="E23" s="7" t="s">
        <v>147</v>
      </c>
      <c r="F23" s="7" t="s">
        <v>148</v>
      </c>
      <c r="G23" s="8" t="s">
        <v>137</v>
      </c>
      <c r="H23" s="8" t="s">
        <v>149</v>
      </c>
      <c r="I23" s="8">
        <v>0</v>
      </c>
      <c r="J23" s="8">
        <v>0</v>
      </c>
      <c r="K23" s="8" t="s">
        <v>33</v>
      </c>
      <c r="L23" s="12">
        <v>4.1099999999999998E-2</v>
      </c>
      <c r="M23" s="12">
        <v>0.97260000000000002</v>
      </c>
      <c r="N23" s="7" t="s">
        <v>150</v>
      </c>
      <c r="O23" s="14">
        <v>0</v>
      </c>
      <c r="P23" s="15">
        <f t="shared" si="0"/>
        <v>0</v>
      </c>
      <c r="Q23" s="7" t="s">
        <v>151</v>
      </c>
      <c r="R23" s="7" t="s">
        <v>42</v>
      </c>
    </row>
    <row r="24" spans="2:18" ht="108" customHeight="1" x14ac:dyDescent="0.3">
      <c r="B24" s="4" t="s">
        <v>152</v>
      </c>
      <c r="C24" s="5" t="s">
        <v>149</v>
      </c>
      <c r="D24" s="6" t="s">
        <v>153</v>
      </c>
      <c r="E24" s="7" t="s">
        <v>154</v>
      </c>
      <c r="F24" s="7" t="s">
        <v>155</v>
      </c>
      <c r="G24" s="8" t="s">
        <v>143</v>
      </c>
      <c r="H24" s="8" t="s">
        <v>24</v>
      </c>
      <c r="I24" s="8">
        <v>0</v>
      </c>
      <c r="J24" s="8">
        <v>0</v>
      </c>
      <c r="K24" s="8" t="s">
        <v>33</v>
      </c>
      <c r="L24" s="12">
        <v>2.7400000000000001E-2</v>
      </c>
      <c r="M24" s="12">
        <v>1</v>
      </c>
      <c r="N24" s="7" t="s">
        <v>150</v>
      </c>
      <c r="O24" s="14">
        <v>0</v>
      </c>
      <c r="P24" s="15">
        <f t="shared" si="0"/>
        <v>0</v>
      </c>
      <c r="Q24" s="7" t="s">
        <v>151</v>
      </c>
      <c r="R24" s="7" t="s">
        <v>42</v>
      </c>
    </row>
    <row r="25" spans="2:18" ht="31.95" customHeight="1" x14ac:dyDescent="0.3">
      <c r="B25" s="2" t="s">
        <v>156</v>
      </c>
      <c r="C25" s="3"/>
      <c r="D25" s="3"/>
      <c r="E25" s="3"/>
      <c r="F25" s="3"/>
      <c r="G25" s="3"/>
      <c r="H25" s="3"/>
      <c r="I25" s="3"/>
      <c r="J25" s="3"/>
      <c r="K25" s="3"/>
      <c r="L25" s="13">
        <v>1</v>
      </c>
      <c r="M25" s="3"/>
      <c r="N25" s="13" t="s">
        <v>157</v>
      </c>
      <c r="O25" s="13"/>
      <c r="P25" s="13">
        <f>SUM(P4:P24)</f>
        <v>0.93150000000000011</v>
      </c>
      <c r="Q25" s="13" t="str">
        <f>COUNTIF(N4:N24,"Completada")&amp;" completadas, "&amp;COUNTIF(N4:N24,"En curso")&amp;" en curso, "&amp;COUNTIF(N4:N24,"Pendiente")&amp;" pendientes"</f>
        <v>19 completadas, 0 en curso, 2 pendientes</v>
      </c>
      <c r="R25" s="13"/>
    </row>
    <row r="26" spans="2:18" ht="108" customHeight="1" x14ac:dyDescent="0.3"/>
    <row r="27" spans="2:18" ht="108" customHeight="1" x14ac:dyDescent="0.3"/>
    <row r="28" spans="2:18" ht="108" customHeight="1" x14ac:dyDescent="0.3"/>
    <row r="29" spans="2:18" ht="108" customHeight="1" x14ac:dyDescent="0.3"/>
    <row r="30" spans="2:18" ht="108" customHeight="1" x14ac:dyDescent="0.3"/>
    <row r="31" spans="2:18" ht="108" customHeight="1" x14ac:dyDescent="0.3"/>
    <row r="32" spans="2:18" ht="108" customHeight="1" x14ac:dyDescent="0.3"/>
    <row r="33" ht="108" customHeight="1" x14ac:dyDescent="0.3"/>
    <row r="34" ht="108" customHeight="1" x14ac:dyDescent="0.3"/>
    <row r="35" ht="108" customHeight="1" x14ac:dyDescent="0.3"/>
    <row r="36" ht="108" customHeight="1" x14ac:dyDescent="0.3"/>
    <row r="37" ht="108" customHeight="1" x14ac:dyDescent="0.3"/>
    <row r="38" ht="108" customHeight="1" x14ac:dyDescent="0.3"/>
    <row r="39" ht="108" customHeight="1" x14ac:dyDescent="0.3"/>
  </sheetData>
  <autoFilter ref="B3:M24" xr:uid="{00000000-0009-0000-0000-000000000000}"/>
  <mergeCells count="1">
    <mergeCell ref="B2:R2"/>
  </mergeCells>
  <conditionalFormatting sqref="L4:L24">
    <cfRule type="dataBar" priority="2">
      <dataBar>
        <cfvo type="num" val="0"/>
        <cfvo type="num" val="1"/>
        <color rgb="FF008AEF"/>
      </dataBar>
    </cfRule>
  </conditionalFormatting>
  <conditionalFormatting sqref="M4:M24">
    <cfRule type="dataBar" priority="3">
      <dataBar>
        <cfvo type="num" val="0"/>
        <cfvo type="num" val="1"/>
        <color rgb="FF008AEF"/>
      </dataBar>
    </cfRule>
  </conditionalFormatting>
  <conditionalFormatting sqref="N4:N24">
    <cfRule type="cellIs" dxfId="2" priority="4" operator="equal">
      <formula>"Completada"</formula>
    </cfRule>
    <cfRule type="cellIs" dxfId="1" priority="4" operator="equal">
      <formula>"En curso"</formula>
    </cfRule>
    <cfRule type="cellIs" dxfId="0" priority="5" operator="equal">
      <formula>"Pendiente"</formula>
    </cfRule>
  </conditionalFormatting>
  <dataValidations count="3">
    <dataValidation type="decimal" showErrorMessage="1" errorTitle="Porcentaje inválido" error="Ingrese un porcentaje entre 0 % y 100 %." sqref="L4:L24" xr:uid="{00000000-0002-0000-0000-000000000000}">
      <formula1>0</formula1>
      <formula2>1</formula2>
    </dataValidation>
    <dataValidation type="list" errorTitle="Estado inválido" error="Seleccione Completada, En curso o Pendiente." sqref="N4:N24" xr:uid="{00000000-0002-0000-0000-000001000000}">
      <formula1>"Completada,En curso,Pendiente"</formula1>
    </dataValidation>
    <dataValidation type="decimal" errorTitle="Porcentaje inválido" error="Ingrese un porcentaje entre 0 % y 100 %." sqref="O4:O24" xr:uid="{00000000-0002-0000-0000-000002000000}">
      <formula1>0</formula1>
      <formula2>1</formula2>
    </dataValidation>
  </dataValidations>
  <pageMargins left="0.75" right="0.75" top="1" bottom="1" header="0.5" footer="0.5"/>
  <pageSetup paperSize="8" fitToHeight="0" orientation="landscape"/>
  <headerFooter>
    <oddFooter>&amp;CFarmaps | Página &amp;P de &amp;N&amp;RPonderación del desarrollo: 100 %</oddFooter>
  </headerFooter>
  <rowBreaks count="2" manualBreakCount="2">
    <brk id="10" max="16383" man="1"/>
    <brk id="17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8"/>
  <sheetViews>
    <sheetView showGridLines="0" workbookViewId="0">
      <pane ySplit="1" topLeftCell="A18" activePane="bottomLeft" state="frozen"/>
      <selection pane="bottomLeft"/>
    </sheetView>
  </sheetViews>
  <sheetFormatPr baseColWidth="10" defaultColWidth="8.88671875" defaultRowHeight="14.4" x14ac:dyDescent="0.3"/>
  <cols>
    <col min="1" max="2" width="10" customWidth="1"/>
    <col min="3" max="3" width="54" customWidth="1"/>
    <col min="4" max="5" width="18" customWidth="1"/>
    <col min="6" max="6" width="16" customWidth="1"/>
    <col min="7" max="7" width="32" customWidth="1"/>
    <col min="8" max="9" width="14" customWidth="1"/>
  </cols>
  <sheetData>
    <row r="1" spans="1:9" ht="31.95" customHeight="1" x14ac:dyDescent="0.3">
      <c r="A1" s="9" t="s">
        <v>3</v>
      </c>
      <c r="B1" s="9" t="s">
        <v>4</v>
      </c>
      <c r="C1" s="9" t="s">
        <v>158</v>
      </c>
      <c r="D1" s="9" t="s">
        <v>159</v>
      </c>
      <c r="E1" s="9" t="s">
        <v>160</v>
      </c>
      <c r="F1" s="9" t="s">
        <v>161</v>
      </c>
      <c r="G1" s="9" t="s">
        <v>162</v>
      </c>
      <c r="H1" s="9" t="s">
        <v>163</v>
      </c>
      <c r="I1" s="9" t="s">
        <v>164</v>
      </c>
    </row>
    <row r="2" spans="1:9" ht="42" customHeight="1" x14ac:dyDescent="0.3">
      <c r="A2" s="10" t="s">
        <v>20</v>
      </c>
      <c r="B2" s="10" t="s">
        <v>21</v>
      </c>
      <c r="C2" s="10" t="s">
        <v>19</v>
      </c>
      <c r="D2" s="11">
        <v>46300</v>
      </c>
      <c r="E2" s="11">
        <v>46310</v>
      </c>
      <c r="F2" s="10">
        <v>2</v>
      </c>
      <c r="G2" s="10" t="s">
        <v>165</v>
      </c>
      <c r="H2" s="10" t="s">
        <v>26</v>
      </c>
      <c r="I2" s="16">
        <v>1</v>
      </c>
    </row>
    <row r="3" spans="1:9" ht="42" customHeight="1" x14ac:dyDescent="0.3">
      <c r="A3" s="10" t="s">
        <v>25</v>
      </c>
      <c r="B3" s="10" t="s">
        <v>29</v>
      </c>
      <c r="C3" s="10" t="s">
        <v>28</v>
      </c>
      <c r="D3" s="11">
        <v>46301</v>
      </c>
      <c r="E3" s="11">
        <v>46305</v>
      </c>
      <c r="F3" s="10">
        <v>4</v>
      </c>
      <c r="G3" s="10" t="s">
        <v>165</v>
      </c>
      <c r="H3" s="10" t="s">
        <v>26</v>
      </c>
      <c r="I3" s="16">
        <v>1</v>
      </c>
    </row>
    <row r="4" spans="1:9" ht="42" customHeight="1" x14ac:dyDescent="0.3">
      <c r="A4" s="10" t="s">
        <v>32</v>
      </c>
      <c r="B4" s="10" t="s">
        <v>37</v>
      </c>
      <c r="C4" s="10" t="s">
        <v>36</v>
      </c>
      <c r="D4" s="11">
        <v>46307</v>
      </c>
      <c r="E4" s="11">
        <v>46309</v>
      </c>
      <c r="F4" s="10">
        <v>3</v>
      </c>
      <c r="G4" s="10" t="s">
        <v>165</v>
      </c>
      <c r="H4" s="10" t="s">
        <v>26</v>
      </c>
      <c r="I4" s="16">
        <v>1</v>
      </c>
    </row>
    <row r="5" spans="1:9" ht="42" customHeight="1" x14ac:dyDescent="0.3">
      <c r="A5" s="10" t="s">
        <v>40</v>
      </c>
      <c r="B5" s="10" t="s">
        <v>44</v>
      </c>
      <c r="C5" s="10" t="s">
        <v>43</v>
      </c>
      <c r="D5" s="11">
        <v>46310</v>
      </c>
      <c r="E5" s="11">
        <v>46313</v>
      </c>
      <c r="F5" s="10">
        <v>6</v>
      </c>
      <c r="G5" s="10" t="s">
        <v>165</v>
      </c>
      <c r="H5" s="10" t="s">
        <v>26</v>
      </c>
      <c r="I5" s="16">
        <v>1</v>
      </c>
    </row>
    <row r="6" spans="1:9" ht="42" customHeight="1" x14ac:dyDescent="0.3">
      <c r="A6" s="10" t="s">
        <v>47</v>
      </c>
      <c r="B6" s="10" t="s">
        <v>50</v>
      </c>
      <c r="C6" s="10" t="s">
        <v>49</v>
      </c>
      <c r="D6" s="11">
        <v>46314</v>
      </c>
      <c r="E6" s="11">
        <v>46315</v>
      </c>
      <c r="F6" s="10">
        <v>3</v>
      </c>
      <c r="G6" s="10" t="s">
        <v>165</v>
      </c>
      <c r="H6" s="10" t="s">
        <v>26</v>
      </c>
      <c r="I6" s="16">
        <v>1</v>
      </c>
    </row>
    <row r="7" spans="1:9" ht="42" customHeight="1" x14ac:dyDescent="0.3">
      <c r="A7" s="10" t="s">
        <v>53</v>
      </c>
      <c r="B7" s="10" t="s">
        <v>57</v>
      </c>
      <c r="C7" s="10" t="s">
        <v>56</v>
      </c>
      <c r="D7" s="11">
        <v>46316</v>
      </c>
      <c r="E7" s="11">
        <v>46318</v>
      </c>
      <c r="F7" s="10">
        <v>4</v>
      </c>
      <c r="G7" s="10" t="s">
        <v>165</v>
      </c>
      <c r="H7" s="10" t="s">
        <v>26</v>
      </c>
      <c r="I7" s="16">
        <v>1</v>
      </c>
    </row>
    <row r="8" spans="1:9" ht="42" customHeight="1" x14ac:dyDescent="0.3">
      <c r="A8" s="10" t="s">
        <v>60</v>
      </c>
      <c r="B8" s="10" t="s">
        <v>63</v>
      </c>
      <c r="C8" s="10" t="s">
        <v>62</v>
      </c>
      <c r="D8" s="11">
        <v>46319</v>
      </c>
      <c r="E8" s="11">
        <v>46321</v>
      </c>
      <c r="F8" s="10">
        <v>4</v>
      </c>
      <c r="G8" s="10" t="s">
        <v>165</v>
      </c>
      <c r="H8" s="10" t="s">
        <v>26</v>
      </c>
      <c r="I8" s="16">
        <v>1</v>
      </c>
    </row>
    <row r="9" spans="1:9" ht="42" customHeight="1" x14ac:dyDescent="0.3">
      <c r="A9" s="10" t="s">
        <v>66</v>
      </c>
      <c r="B9" s="10" t="s">
        <v>69</v>
      </c>
      <c r="C9" s="10" t="s">
        <v>68</v>
      </c>
      <c r="D9" s="11">
        <v>46322</v>
      </c>
      <c r="E9" s="11">
        <v>46324</v>
      </c>
      <c r="F9" s="10">
        <v>4</v>
      </c>
      <c r="G9" s="10" t="s">
        <v>165</v>
      </c>
      <c r="H9" s="10" t="s">
        <v>26</v>
      </c>
      <c r="I9" s="16">
        <v>1</v>
      </c>
    </row>
    <row r="10" spans="1:9" ht="42" customHeight="1" x14ac:dyDescent="0.3">
      <c r="A10" s="10" t="s">
        <v>72</v>
      </c>
      <c r="B10" s="10" t="s">
        <v>75</v>
      </c>
      <c r="C10" s="10" t="s">
        <v>74</v>
      </c>
      <c r="D10" s="11">
        <v>46325</v>
      </c>
      <c r="E10" s="11">
        <v>46327</v>
      </c>
      <c r="F10" s="10">
        <v>5</v>
      </c>
      <c r="G10" s="10" t="s">
        <v>165</v>
      </c>
      <c r="H10" s="10" t="s">
        <v>26</v>
      </c>
      <c r="I10" s="16">
        <v>1</v>
      </c>
    </row>
    <row r="11" spans="1:9" ht="42" customHeight="1" x14ac:dyDescent="0.3">
      <c r="A11" s="10" t="s">
        <v>78</v>
      </c>
      <c r="B11" s="10" t="s">
        <v>82</v>
      </c>
      <c r="C11" s="10" t="s">
        <v>81</v>
      </c>
      <c r="D11" s="11">
        <v>46328</v>
      </c>
      <c r="E11" s="11">
        <v>46329</v>
      </c>
      <c r="F11" s="10">
        <v>4</v>
      </c>
      <c r="G11" s="10" t="s">
        <v>165</v>
      </c>
      <c r="H11" s="10" t="s">
        <v>26</v>
      </c>
      <c r="I11" s="16">
        <v>1</v>
      </c>
    </row>
    <row r="12" spans="1:9" ht="42" customHeight="1" x14ac:dyDescent="0.3">
      <c r="A12" s="10" t="s">
        <v>85</v>
      </c>
      <c r="B12" s="10" t="s">
        <v>88</v>
      </c>
      <c r="C12" s="10" t="s">
        <v>87</v>
      </c>
      <c r="D12" s="11">
        <v>46330</v>
      </c>
      <c r="E12" s="11">
        <v>46332</v>
      </c>
      <c r="F12" s="10">
        <v>5</v>
      </c>
      <c r="G12" s="10" t="s">
        <v>165</v>
      </c>
      <c r="H12" s="10" t="s">
        <v>26</v>
      </c>
      <c r="I12" s="16">
        <v>1</v>
      </c>
    </row>
    <row r="13" spans="1:9" ht="42" customHeight="1" x14ac:dyDescent="0.3">
      <c r="A13" s="10" t="s">
        <v>91</v>
      </c>
      <c r="B13" s="10" t="s">
        <v>94</v>
      </c>
      <c r="C13" s="10" t="s">
        <v>93</v>
      </c>
      <c r="D13" s="11">
        <v>46333</v>
      </c>
      <c r="E13" s="11">
        <v>46334</v>
      </c>
      <c r="F13" s="10">
        <v>3</v>
      </c>
      <c r="G13" s="10" t="s">
        <v>165</v>
      </c>
      <c r="H13" s="10" t="s">
        <v>26</v>
      </c>
      <c r="I13" s="16">
        <v>1</v>
      </c>
    </row>
    <row r="14" spans="1:9" ht="42" customHeight="1" x14ac:dyDescent="0.3">
      <c r="A14" s="10" t="s">
        <v>97</v>
      </c>
      <c r="B14" s="10" t="s">
        <v>101</v>
      </c>
      <c r="C14" s="10" t="s">
        <v>100</v>
      </c>
      <c r="D14" s="11">
        <v>46335</v>
      </c>
      <c r="E14" s="11">
        <v>46336</v>
      </c>
      <c r="F14" s="10">
        <v>3</v>
      </c>
      <c r="G14" s="10" t="s">
        <v>165</v>
      </c>
      <c r="H14" s="10" t="s">
        <v>26</v>
      </c>
      <c r="I14" s="16">
        <v>1</v>
      </c>
    </row>
    <row r="15" spans="1:9" ht="42" customHeight="1" x14ac:dyDescent="0.3">
      <c r="A15" s="10" t="s">
        <v>104</v>
      </c>
      <c r="B15" s="10" t="s">
        <v>107</v>
      </c>
      <c r="C15" s="10" t="s">
        <v>106</v>
      </c>
      <c r="D15" s="11">
        <v>46337</v>
      </c>
      <c r="E15" s="11">
        <v>46337</v>
      </c>
      <c r="F15" s="10">
        <v>2</v>
      </c>
      <c r="G15" s="10" t="s">
        <v>165</v>
      </c>
      <c r="H15" s="10" t="s">
        <v>26</v>
      </c>
      <c r="I15" s="16">
        <v>1</v>
      </c>
    </row>
    <row r="16" spans="1:9" ht="42" customHeight="1" x14ac:dyDescent="0.3">
      <c r="A16" s="10" t="s">
        <v>110</v>
      </c>
      <c r="B16" s="10" t="s">
        <v>114</v>
      </c>
      <c r="C16" s="10" t="s">
        <v>113</v>
      </c>
      <c r="D16" s="11">
        <v>46338</v>
      </c>
      <c r="E16" s="11">
        <v>46339</v>
      </c>
      <c r="F16" s="10">
        <v>3</v>
      </c>
      <c r="G16" s="10" t="s">
        <v>165</v>
      </c>
      <c r="H16" s="10" t="s">
        <v>26</v>
      </c>
      <c r="I16" s="16">
        <v>1</v>
      </c>
    </row>
    <row r="17" spans="1:9" ht="42" customHeight="1" x14ac:dyDescent="0.3">
      <c r="A17" s="10" t="s">
        <v>117</v>
      </c>
      <c r="B17" s="10" t="s">
        <v>120</v>
      </c>
      <c r="C17" s="10" t="s">
        <v>119</v>
      </c>
      <c r="D17" s="11">
        <v>46340</v>
      </c>
      <c r="E17" s="11">
        <v>46341</v>
      </c>
      <c r="F17" s="10">
        <v>3</v>
      </c>
      <c r="G17" s="10" t="s">
        <v>165</v>
      </c>
      <c r="H17" s="10" t="s">
        <v>26</v>
      </c>
      <c r="I17" s="16">
        <v>1</v>
      </c>
    </row>
    <row r="18" spans="1:9" ht="42" customHeight="1" x14ac:dyDescent="0.3">
      <c r="A18" s="10" t="s">
        <v>123</v>
      </c>
      <c r="B18" s="10" t="s">
        <v>127</v>
      </c>
      <c r="C18" s="10" t="s">
        <v>126</v>
      </c>
      <c r="D18" s="11">
        <v>46342</v>
      </c>
      <c r="E18" s="11">
        <v>46343</v>
      </c>
      <c r="F18" s="10">
        <v>3</v>
      </c>
      <c r="G18" s="10" t="s">
        <v>165</v>
      </c>
      <c r="H18" s="10" t="s">
        <v>26</v>
      </c>
      <c r="I18" s="16">
        <v>1</v>
      </c>
    </row>
    <row r="19" spans="1:9" ht="42" customHeight="1" x14ac:dyDescent="0.3">
      <c r="A19" s="10" t="s">
        <v>130</v>
      </c>
      <c r="B19" s="10" t="s">
        <v>134</v>
      </c>
      <c r="C19" s="10" t="s">
        <v>133</v>
      </c>
      <c r="D19" s="11">
        <v>46344</v>
      </c>
      <c r="E19" s="11">
        <v>46344</v>
      </c>
      <c r="F19" s="10">
        <v>3</v>
      </c>
      <c r="G19" s="10" t="s">
        <v>165</v>
      </c>
      <c r="H19" s="10" t="s">
        <v>26</v>
      </c>
      <c r="I19" s="16">
        <v>1</v>
      </c>
    </row>
    <row r="20" spans="1:9" ht="42" customHeight="1" x14ac:dyDescent="0.3">
      <c r="A20" s="10" t="s">
        <v>137</v>
      </c>
      <c r="B20" s="10" t="s">
        <v>140</v>
      </c>
      <c r="C20" s="10" t="s">
        <v>139</v>
      </c>
      <c r="D20" s="11">
        <v>46345</v>
      </c>
      <c r="E20" s="11">
        <v>46346</v>
      </c>
      <c r="F20" s="10">
        <v>4</v>
      </c>
      <c r="G20" s="10" t="s">
        <v>165</v>
      </c>
      <c r="H20" s="10" t="s">
        <v>26</v>
      </c>
      <c r="I20" s="16">
        <v>1</v>
      </c>
    </row>
    <row r="21" spans="1:9" ht="42" customHeight="1" x14ac:dyDescent="0.3">
      <c r="A21" s="10" t="s">
        <v>143</v>
      </c>
      <c r="B21" s="10" t="s">
        <v>146</v>
      </c>
      <c r="C21" s="10" t="s">
        <v>145</v>
      </c>
      <c r="D21" s="11">
        <v>46347</v>
      </c>
      <c r="E21" s="11">
        <v>46347</v>
      </c>
      <c r="F21" s="10">
        <v>3</v>
      </c>
      <c r="G21" s="10" t="s">
        <v>165</v>
      </c>
      <c r="H21" s="10" t="s">
        <v>150</v>
      </c>
      <c r="I21" s="16">
        <v>0</v>
      </c>
    </row>
    <row r="22" spans="1:9" ht="42" customHeight="1" x14ac:dyDescent="0.3">
      <c r="A22" s="10" t="s">
        <v>149</v>
      </c>
      <c r="B22" s="10" t="s">
        <v>153</v>
      </c>
      <c r="C22" s="10" t="s">
        <v>152</v>
      </c>
      <c r="D22" s="11">
        <v>46348</v>
      </c>
      <c r="E22" s="11">
        <v>46348</v>
      </c>
      <c r="F22" s="10">
        <v>2</v>
      </c>
      <c r="G22" s="10" t="s">
        <v>165</v>
      </c>
      <c r="H22" s="10" t="s">
        <v>150</v>
      </c>
      <c r="I22" s="16">
        <v>0</v>
      </c>
    </row>
    <row r="23" spans="1:9" ht="42" customHeight="1" x14ac:dyDescent="0.3">
      <c r="A23" s="10" t="s">
        <v>166</v>
      </c>
      <c r="B23" s="10"/>
      <c r="C23" s="10" t="s">
        <v>167</v>
      </c>
      <c r="D23" s="11"/>
      <c r="E23" s="11"/>
      <c r="F23" s="10">
        <v>73</v>
      </c>
      <c r="G23" s="10"/>
      <c r="H23" s="10" t="s">
        <v>168</v>
      </c>
      <c r="I23" s="17">
        <f>'Lista de actividades'!P25</f>
        <v>0.93150000000000011</v>
      </c>
    </row>
    <row r="24" spans="1:9" ht="42" customHeight="1" x14ac:dyDescent="0.3"/>
    <row r="25" spans="1:9" ht="42" customHeight="1" x14ac:dyDescent="0.3"/>
    <row r="26" spans="1:9" ht="42" customHeight="1" x14ac:dyDescent="0.3"/>
    <row r="27" spans="1:9" ht="42" customHeight="1" x14ac:dyDescent="0.3"/>
    <row r="28" spans="1:9" ht="42" customHeight="1" x14ac:dyDescent="0.3"/>
    <row r="29" spans="1:9" ht="42" customHeight="1" x14ac:dyDescent="0.3"/>
    <row r="30" spans="1:9" ht="42" customHeight="1" x14ac:dyDescent="0.3"/>
    <row r="31" spans="1:9" ht="42" customHeight="1" x14ac:dyDescent="0.3"/>
    <row r="32" spans="1:9" ht="42" customHeight="1" x14ac:dyDescent="0.3"/>
    <row r="33" ht="42" customHeight="1" x14ac:dyDescent="0.3"/>
    <row r="34" ht="42" customHeight="1" x14ac:dyDescent="0.3"/>
    <row r="35" ht="42" customHeight="1" x14ac:dyDescent="0.3"/>
    <row r="36" ht="42" customHeight="1" x14ac:dyDescent="0.3"/>
    <row r="37" ht="42" customHeight="1" x14ac:dyDescent="0.3"/>
    <row r="38" ht="42" customHeight="1" x14ac:dyDescent="0.3"/>
  </sheetData>
  <autoFilter ref="A1:G22" xr:uid="{00000000-0009-0000-0000-000001000000}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23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2" customWidth="1"/>
    <col min="2" max="2" width="112" customWidth="1"/>
  </cols>
  <sheetData>
    <row r="1" spans="1:2" ht="31.95" customHeight="1" x14ac:dyDescent="0.3">
      <c r="A1" s="9" t="s">
        <v>169</v>
      </c>
      <c r="B1" s="9" t="s">
        <v>170</v>
      </c>
    </row>
    <row r="2" spans="1:2" ht="78" customHeight="1" x14ac:dyDescent="0.3">
      <c r="A2" s="10" t="s">
        <v>171</v>
      </c>
      <c r="B2" s="10" t="s">
        <v>172</v>
      </c>
    </row>
    <row r="3" spans="1:2" ht="78" customHeight="1" x14ac:dyDescent="0.3">
      <c r="A3" s="10" t="s">
        <v>173</v>
      </c>
      <c r="B3" s="10" t="s">
        <v>174</v>
      </c>
    </row>
    <row r="4" spans="1:2" ht="78" customHeight="1" x14ac:dyDescent="0.3">
      <c r="A4" s="10" t="s">
        <v>175</v>
      </c>
      <c r="B4" s="10" t="s">
        <v>176</v>
      </c>
    </row>
    <row r="5" spans="1:2" ht="78" customHeight="1" x14ac:dyDescent="0.3">
      <c r="A5" s="10" t="s">
        <v>162</v>
      </c>
      <c r="B5" s="10" t="s">
        <v>177</v>
      </c>
    </row>
    <row r="6" spans="1:2" ht="78" customHeight="1" x14ac:dyDescent="0.3">
      <c r="A6" s="10" t="s">
        <v>178</v>
      </c>
      <c r="B6" s="10" t="s">
        <v>179</v>
      </c>
    </row>
    <row r="7" spans="1:2" ht="78" customHeight="1" x14ac:dyDescent="0.3">
      <c r="A7" s="10" t="s">
        <v>180</v>
      </c>
      <c r="B7" s="10" t="s">
        <v>181</v>
      </c>
    </row>
    <row r="8" spans="1:2" ht="78" customHeight="1" x14ac:dyDescent="0.3">
      <c r="A8" s="10" t="s">
        <v>182</v>
      </c>
      <c r="B8" s="10" t="s">
        <v>183</v>
      </c>
    </row>
    <row r="9" spans="1:2" ht="78" customHeight="1" x14ac:dyDescent="0.3">
      <c r="A9" s="10" t="s">
        <v>184</v>
      </c>
      <c r="B9" s="10" t="s">
        <v>185</v>
      </c>
    </row>
    <row r="10" spans="1:2" ht="78" customHeight="1" x14ac:dyDescent="0.3">
      <c r="A10" s="10" t="s">
        <v>186</v>
      </c>
      <c r="B10" s="10" t="s">
        <v>187</v>
      </c>
    </row>
    <row r="11" spans="1:2" ht="78" customHeight="1" x14ac:dyDescent="0.3">
      <c r="A11" s="10" t="s">
        <v>188</v>
      </c>
      <c r="B11" s="10" t="s">
        <v>189</v>
      </c>
    </row>
    <row r="12" spans="1:2" ht="78" customHeight="1" x14ac:dyDescent="0.3">
      <c r="A12" s="10" t="s">
        <v>190</v>
      </c>
      <c r="B12" s="10" t="s">
        <v>191</v>
      </c>
    </row>
    <row r="13" spans="1:2" ht="78" customHeight="1" x14ac:dyDescent="0.3">
      <c r="A13" s="10" t="s">
        <v>192</v>
      </c>
      <c r="B13" s="10" t="s">
        <v>193</v>
      </c>
    </row>
    <row r="14" spans="1:2" ht="78" customHeight="1" x14ac:dyDescent="0.3">
      <c r="A14" s="10" t="s">
        <v>194</v>
      </c>
      <c r="B14" s="10" t="s">
        <v>195</v>
      </c>
    </row>
    <row r="15" spans="1:2" ht="78" customHeight="1" x14ac:dyDescent="0.3">
      <c r="A15" s="10" t="s">
        <v>196</v>
      </c>
      <c r="B15" s="10" t="s">
        <v>197</v>
      </c>
    </row>
    <row r="16" spans="1:2" ht="90" customHeight="1" x14ac:dyDescent="0.3">
      <c r="A16" s="10" t="s">
        <v>198</v>
      </c>
      <c r="B16" s="10" t="s">
        <v>199</v>
      </c>
    </row>
    <row r="17" spans="1:2" ht="90" customHeight="1" x14ac:dyDescent="0.3">
      <c r="A17" s="10" t="s">
        <v>163</v>
      </c>
      <c r="B17" s="10" t="s">
        <v>200</v>
      </c>
    </row>
    <row r="18" spans="1:2" ht="90" customHeight="1" x14ac:dyDescent="0.3">
      <c r="A18" s="10" t="s">
        <v>201</v>
      </c>
      <c r="B18" s="10" t="s">
        <v>202</v>
      </c>
    </row>
    <row r="19" spans="1:2" ht="90" customHeight="1" x14ac:dyDescent="0.3">
      <c r="A19" s="10" t="s">
        <v>203</v>
      </c>
      <c r="B19" s="10" t="s">
        <v>204</v>
      </c>
    </row>
    <row r="20" spans="1:2" ht="90" customHeight="1" x14ac:dyDescent="0.3">
      <c r="A20" s="10" t="s">
        <v>205</v>
      </c>
      <c r="B20" s="10" t="s">
        <v>206</v>
      </c>
    </row>
    <row r="21" spans="1:2" ht="90" customHeight="1" x14ac:dyDescent="0.3">
      <c r="A21" s="10" t="s">
        <v>207</v>
      </c>
      <c r="B21" s="10" t="s">
        <v>208</v>
      </c>
    </row>
    <row r="22" spans="1:2" ht="90" customHeight="1" x14ac:dyDescent="0.3">
      <c r="A22" s="10" t="s">
        <v>209</v>
      </c>
      <c r="B22" s="10" t="s">
        <v>210</v>
      </c>
    </row>
    <row r="23" spans="1:2" ht="90" customHeight="1" x14ac:dyDescent="0.3">
      <c r="A23" s="10" t="s">
        <v>211</v>
      </c>
      <c r="B23" s="10" t="s">
        <v>212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Lista de actividades</vt:lpstr>
      <vt:lpstr>Planificación</vt:lpstr>
      <vt:lpstr>Criterios</vt:lpstr>
      <vt:lpstr>Criterios!Área_de_impresión</vt:lpstr>
      <vt:lpstr>'Lista de actividades'!Área_de_impresión</vt:lpstr>
      <vt:lpstr>Planificación!Área_de_impresión</vt:lpstr>
      <vt:lpstr>Criterios!Títulos_a_imprimir</vt:lpstr>
      <vt:lpstr>'Lista de actividades'!Títulos_a_imprimir</vt:lpstr>
      <vt:lpstr>Planificación!Títulos_a_imprimir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actividades de desarrollo de Farmaps — Ponderación</dc:title>
  <dc:subject>Gestión de Proyectos de Ingeniería</dc:subject>
  <dc:creator>Juan David Cardozo Prada</dc:creator>
  <dc:description>21 actividades técnicas con peso proporcional al esfuerzo y porcentaje acumulado previsto. Los pesos suman 100 % del desarrollo; no indican trabajo ya realizado.</dc:description>
  <cp:lastModifiedBy>Juan David Cardozo Prada</cp:lastModifiedBy>
  <dcterms:created xsi:type="dcterms:W3CDTF">2026-09-17T16:27:49Z</dcterms:created>
  <dcterms:modified xsi:type="dcterms:W3CDTF">2026-09-25T15:20:07Z</dcterms:modified>
</cp:coreProperties>
</file>