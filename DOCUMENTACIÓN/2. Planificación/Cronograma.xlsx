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ownloads\Farmaps\2. Planificación\"/>
    </mc:Choice>
  </mc:AlternateContent>
  <xr:revisionPtr revIDLastSave="0" documentId="8_{95BB9735-EA20-4E11-A96F-2C1D2275DBD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ronograma Farmaps" sheetId="1" r:id="rId1"/>
  </sheets>
  <definedNames>
    <definedName name="_xlnm.Print_Area" localSheetId="0">'Cronograma Farmaps'!$B$1:$I$94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4" i="1" l="1"/>
  <c r="H53" i="1"/>
  <c r="H52" i="1"/>
  <c r="H51" i="1"/>
  <c r="G50" i="1"/>
  <c r="F50" i="1"/>
  <c r="H49" i="1"/>
  <c r="H48" i="1"/>
  <c r="G47" i="1"/>
  <c r="F47" i="1"/>
  <c r="H46" i="1"/>
  <c r="H45" i="1"/>
  <c r="H44" i="1"/>
  <c r="H43" i="1"/>
  <c r="H42" i="1"/>
  <c r="H41" i="1"/>
  <c r="H40" i="1"/>
  <c r="H39" i="1"/>
  <c r="G38" i="1"/>
  <c r="F38" i="1"/>
  <c r="H37" i="1"/>
  <c r="H36" i="1"/>
  <c r="H35" i="1"/>
  <c r="H34" i="1"/>
  <c r="H33" i="1"/>
  <c r="H32" i="1"/>
  <c r="H31" i="1"/>
  <c r="G30" i="1"/>
  <c r="F30" i="1"/>
  <c r="H29" i="1"/>
  <c r="H28" i="1"/>
  <c r="H27" i="1"/>
  <c r="H26" i="1"/>
  <c r="H25" i="1"/>
  <c r="H24" i="1"/>
  <c r="H23" i="1"/>
  <c r="G22" i="1"/>
  <c r="F22" i="1"/>
  <c r="H21" i="1"/>
  <c r="H20" i="1"/>
  <c r="H19" i="1"/>
  <c r="H18" i="1"/>
  <c r="G17" i="1"/>
  <c r="F17" i="1"/>
  <c r="H16" i="1"/>
  <c r="H15" i="1"/>
  <c r="H14" i="1"/>
  <c r="H13" i="1"/>
  <c r="H12" i="1"/>
  <c r="G11" i="1"/>
  <c r="F11" i="1"/>
  <c r="H10" i="1"/>
  <c r="H9" i="1"/>
  <c r="G8" i="1"/>
  <c r="F8" i="1"/>
  <c r="H50" i="1" l="1"/>
  <c r="H47" i="1"/>
  <c r="H38" i="1"/>
  <c r="H30" i="1"/>
  <c r="H22" i="1"/>
  <c r="H17" i="1"/>
  <c r="E5" i="1"/>
  <c r="H11" i="1"/>
  <c r="E3" i="1"/>
  <c r="H8" i="1"/>
  <c r="H5" i="1" l="1"/>
</calcChain>
</file>

<file path=xl/sharedStrings.xml><?xml version="1.0" encoding="utf-8"?>
<sst xmlns="http://schemas.openxmlformats.org/spreadsheetml/2006/main" count="230" uniqueCount="152">
  <si>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</si>
  <si>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</si>
  <si>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</si>
  <si>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</si>
  <si>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</si>
  <si>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</si>
  <si>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</si>
  <si>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</si>
  <si>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Título del Proyecto</t>
  </si>
  <si>
    <t>Gerente del Proyecto</t>
  </si>
  <si>
    <t>Fecha inicio</t>
  </si>
  <si>
    <t>Fecha Fin</t>
  </si>
  <si>
    <t>Duracion del proyecto</t>
  </si>
  <si>
    <t>en dias</t>
  </si>
  <si>
    <t>Completo</t>
  </si>
  <si>
    <t>En progreso</t>
  </si>
  <si>
    <t>No Iniciado</t>
  </si>
  <si>
    <t>En Espera</t>
  </si>
  <si>
    <t>Farmaps</t>
  </si>
  <si>
    <t>Juan David Cardozo Prada</t>
  </si>
  <si>
    <t>1</t>
  </si>
  <si>
    <t>Concepción e inicio del proyecto</t>
  </si>
  <si>
    <t>1.1</t>
  </si>
  <si>
    <t>– M01 Elaborar y actualizar el acta de constitución</t>
  </si>
  <si>
    <t>Juan D. Cardozo</t>
  </si>
  <si>
    <t>Acta elaborada; se actualiza si cambia el alcance.</t>
  </si>
  <si>
    <t>1.2</t>
  </si>
  <si>
    <t>– M02 Detallar necesidades y requisitos del sistema</t>
  </si>
  <si>
    <t>NEC-01 a NEC-14, RF-01 a RF-06 y RNF-01 a RNF-05.</t>
  </si>
  <si>
    <t>2</t>
  </si>
  <si>
    <t>Planificación del proyecto</t>
  </si>
  <si>
    <t>2.1</t>
  </si>
  <si>
    <t>– M04 Elaborar EDT y lista de actividades</t>
  </si>
  <si>
    <t>EDT, lista de actividades y matriz RACI replanteadas.</t>
  </si>
  <si>
    <t>2.2</t>
  </si>
  <si>
    <t>– M03 Detallar el cronograma y la disponibilidad de trabajo</t>
  </si>
  <si>
    <t>Cronograma actualizado el 25/09/2026.</t>
  </si>
  <si>
    <t>2.3</t>
  </si>
  <si>
    <t>– M05 Elaborar el presupuesto del proyecto</t>
  </si>
  <si>
    <t>Sin presupuesto externo (RES-03); plan gratuito de Firebase.</t>
  </si>
  <si>
    <t>2.4</t>
  </si>
  <si>
    <t>– M06 Evaluar riesgos y definir respuestas</t>
  </si>
  <si>
    <t>Riesgos identificados con su respuesta.</t>
  </si>
  <si>
    <t>2.5</t>
  </si>
  <si>
    <t>– M07 Presentar alcance y criterios para aprobación académica</t>
  </si>
  <si>
    <t>Juan D. Cardozo / Docente</t>
  </si>
  <si>
    <t>Presentado en el Parcial 2; en espera de aprobación de la docente.</t>
  </si>
  <si>
    <t>3</t>
  </si>
  <si>
    <t>Diseño del sistema</t>
  </si>
  <si>
    <t>3.1</t>
  </si>
  <si>
    <t>– S01 Diseñar navegación y prototipos de interfaz</t>
  </si>
  <si>
    <t>Prototipos de P01 a P05 y A01 a A06.</t>
  </si>
  <si>
    <t>3.2</t>
  </si>
  <si>
    <t>– S02 Diseñar modelo y diccionario de datos</t>
  </si>
  <si>
    <t>Farmacias, medicamentos, presentaciones, ofertas y administradores.</t>
  </si>
  <si>
    <t>3.3</t>
  </si>
  <si>
    <t>– S03 Definir arquitectura, tecnologías y servicios</t>
  </si>
  <si>
    <t>HTML, CSS y JavaScript; Firebase Hosting, Firestore y Authentication.</t>
  </si>
  <si>
    <t>3.4</t>
  </si>
  <si>
    <t>– S05 Revisar el diseño frente al alcance aprobado</t>
  </si>
  <si>
    <t>Sin funciones excluidas del alcance.</t>
  </si>
  <si>
    <t>4</t>
  </si>
  <si>
    <t>Construcción del prototipo</t>
  </si>
  <si>
    <t>4.1</t>
  </si>
  <si>
    <t>– A01 Configurar el entorno y el repositorio</t>
  </si>
  <si>
    <t>Falta subir el código a GitHub (carpeta DESARROLLO).</t>
  </si>
  <si>
    <t>4.2</t>
  </si>
  <si>
    <t>– A02 Implementar la base de datos y sus validaciones</t>
  </si>
  <si>
    <t>Cloud Firestore con reglas de seguridad publicadas.</t>
  </si>
  <si>
    <t>4.3</t>
  </si>
  <si>
    <t>– A03 Preparar el catálogo de demostración</t>
  </si>
  <si>
    <t>28 farmacias, 34 medicamentos, 50 presentaciones y 742 ofertas.</t>
  </si>
  <si>
    <t>4.4</t>
  </si>
  <si>
    <t>– A04 Desarrollar consultas y búsqueda de medicamentos</t>
  </si>
  <si>
    <t>Por nombre comercial o principio activo, con o sin tildes.</t>
  </si>
  <si>
    <t>4.5</t>
  </si>
  <si>
    <t>– A05 Implementar el acceso administrativo</t>
  </si>
  <si>
    <t>Pantalla A01 con Firebase Authentication.</t>
  </si>
  <si>
    <t>4.6</t>
  </si>
  <si>
    <t>– A06 Implementar la gestión del catálogo</t>
  </si>
  <si>
    <t>Pantallas A02 a A06.</t>
  </si>
  <si>
    <t>4.7</t>
  </si>
  <si>
    <t>– A07 Desarrollar la búsqueda y lista de resultados</t>
  </si>
  <si>
    <t>P01 con sugerencias en tiempo real y P02.</t>
  </si>
  <si>
    <t>5</t>
  </si>
  <si>
    <t>Integración del prototipo</t>
  </si>
  <si>
    <t>5.1</t>
  </si>
  <si>
    <t>– A08 Integrar el mapa y las fichas de farmacias</t>
  </si>
  <si>
    <t>Mapa de OpenStreetMap en P03 y ficha de la oferta en P05.</t>
  </si>
  <si>
    <t>5.2</t>
  </si>
  <si>
    <t>– A09 Implementar ubicación y distancia aproximada</t>
  </si>
  <si>
    <t>P04 con GPS o punto manual; distancia Haversine.</t>
  </si>
  <si>
    <t>5.3</t>
  </si>
  <si>
    <t>– A10 Implementar comparación y ordenamiento</t>
  </si>
  <si>
    <t>Por precio o cercanía; misma presentación y moneda.</t>
  </si>
  <si>
    <t>5.4</t>
  </si>
  <si>
    <t>– A11 Integrar interfaz adaptable y manejo de errores</t>
  </si>
  <si>
    <t>Rediseño y adaptación a dispositivos (SC-04).</t>
  </si>
  <si>
    <t>5.5</t>
  </si>
  <si>
    <t>– A12 Preparar despliegue demostrativo y respaldos</t>
  </si>
  <si>
    <t>Publicado con HTTPS; falta el respaldo y retirar carga-datos.</t>
  </si>
  <si>
    <t>5.6</t>
  </si>
  <si>
    <t>– A13 Comprobar la integración del prototipo</t>
  </si>
  <si>
    <t>Flujos público y administrativo verificados.</t>
  </si>
  <si>
    <t>5.7</t>
  </si>
  <si>
    <t>– A14 Estabilizar la versión integrada del prototipo</t>
  </si>
  <si>
    <t>Versión congelada; corrección de INC-01 (SC-05).</t>
  </si>
  <si>
    <t>6</t>
  </si>
  <si>
    <t>Pruebas del prototipo</t>
  </si>
  <si>
    <t>6.1</t>
  </si>
  <si>
    <t>– S04 Preparar casos de prueba y resultados esperados</t>
  </si>
  <si>
    <t>Casos CP, AD, RS, RN y reglas S1 a S16.</t>
  </si>
  <si>
    <t>6.2</t>
  </si>
  <si>
    <t>– A15 Ejecutar pruebas funcionales y de datos</t>
  </si>
  <si>
    <t>Casos funcionales aprobados; datos sin fallos de integridad.</t>
  </si>
  <si>
    <t>6.3</t>
  </si>
  <si>
    <t>– A16 Probar distancia, permisos y acceso restringido</t>
  </si>
  <si>
    <t>16 de 16 reglas de seguridad correctas.</t>
  </si>
  <si>
    <t>6.4</t>
  </si>
  <si>
    <t>– A17 Evaluar usabilidad y compatibilidad</t>
  </si>
  <si>
    <t>360 px y 1366 px en Edge, Chrome, Firefox y WebKit.</t>
  </si>
  <si>
    <t>6.5</t>
  </si>
  <si>
    <t>– A18 Medir rendimiento y registrar incidencias</t>
  </si>
  <si>
    <t>10 de 10 búsquedas en 3 s o menos; INC-01 a INC-09.</t>
  </si>
  <si>
    <t>6.6</t>
  </si>
  <si>
    <t>– A19 Corregir defectos y ejecutar regresión</t>
  </si>
  <si>
    <t>15 de 15 casos y 100 % de los críticos.</t>
  </si>
  <si>
    <t>6.7</t>
  </si>
  <si>
    <t>– A20 Realizar ajustes finales y estabilizar la versión</t>
  </si>
  <si>
    <t>Aplicar los ajustes de SC-06 si se aprueban.</t>
  </si>
  <si>
    <t>6.8</t>
  </si>
  <si>
    <t>– A21 Publicar y respaldar la versión final</t>
  </si>
  <si>
    <t>Despliegue final en Firebase y respaldo en GitHub.</t>
  </si>
  <si>
    <t>7</t>
  </si>
  <si>
    <t>Seguimiento y control</t>
  </si>
  <si>
    <t>7.1</t>
  </si>
  <si>
    <t>– M09 Registrar seguimiento, incidencias y decisiones</t>
  </si>
  <si>
    <t>Tablero de Trello y registro de incidencias.</t>
  </si>
  <si>
    <t>7.2</t>
  </si>
  <si>
    <t>– M08 Solicitar autorización de cambios de alcance o plazo</t>
  </si>
  <si>
    <t>SC-01 a SC-06 elaboradas; pendientes de firma.</t>
  </si>
  <si>
    <t>8</t>
  </si>
  <si>
    <t>Cierre del proyecto</t>
  </si>
  <si>
    <t>8.1</t>
  </si>
  <si>
    <t>– M10 Elaborar manuales de usuario, instalación y administración</t>
  </si>
  <si>
    <t>8.2</t>
  </si>
  <si>
    <t>– M11 Consolidar informe final y entregables</t>
  </si>
  <si>
    <t>8.3</t>
  </si>
  <si>
    <t>– M12 Preparar y realizar la sustentación del proyecto</t>
  </si>
  <si>
    <t>8.4</t>
  </si>
  <si>
    <t>– M13 Presentar la entrega para evaluación académica</t>
  </si>
  <si>
    <t>Antes de la última semana de noviembre (RES-02).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</si>
</sst>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dd/mm/yyyy"/>
    <numFmt numFmtId="166" formatCode="dd/mm"/>
  </numFmts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2"/>
      <color rgb="FFFFFFFF"/>
      <name val="Century Gothic"/>
      <family val="1"/>
    </font>
    <font>
      <b/>
      <sz val="10"/>
      <color rgb="FFFFFFFF"/>
      <name val="Century Gothic"/>
      <family val="1"/>
    </font>
    <font>
      <sz val="10"/>
      <color rgb="FFFFFFFF"/>
      <name val="Century Gothic"/>
      <family val="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38DCD"/>
        <bgColor indexed="64"/>
      </patternFill>
    </fill>
    <fill>
      <patternFill patternType="solid">
        <fgColor rgb="FFCCE2F2"/>
        <bgColor indexed="64"/>
      </patternFill>
    </fill>
    <fill>
      <patternFill patternType="solid">
        <fgColor rgb="FF338D5D"/>
        <bgColor indexed="64"/>
      </patternFill>
    </fill>
    <fill>
      <patternFill patternType="solid">
        <fgColor rgb="FFCCE3D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CA533"/>
        <bgColor indexed="64"/>
      </patternFill>
    </fill>
    <fill>
      <patternFill patternType="solid">
        <fgColor rgb="FFF2E9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D59B3"/>
        <bgColor indexed="64"/>
      </patternFill>
    </fill>
    <fill>
      <patternFill patternType="solid">
        <fgColor rgb="FFE2D6E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17B41"/>
        <bgColor indexed="64"/>
      </patternFill>
    </fill>
    <fill>
      <patternFill patternType="solid">
        <fgColor rgb="FFF3DEC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4C6083"/>
        <bgColor indexed="64"/>
      </patternFill>
    </fill>
    <fill>
      <patternFill patternType="solid">
        <fgColor rgb="FFD2D7E0"/>
        <bgColor indexed="64"/>
      </patternFill>
    </fill>
    <fill>
      <patternFill patternType="solid">
        <fgColor rgb="FF00807F"/>
        <bgColor indexed="64"/>
      </patternFill>
    </fill>
    <fill>
      <patternFill patternType="solid">
        <fgColor rgb="FF339999"/>
        <bgColor indexed="64"/>
      </patternFill>
    </fill>
    <fill>
      <patternFill patternType="solid">
        <fgColor rgb="FFCCE6E5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99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2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8" fillId="3" borderId="5" xfId="0" applyFont="1" applyFill="1" applyBorder="1" applyAlignment="1">
      <alignment horizontal="left" vertical="center" wrapText="1" indent="1"/>
    </xf>
    <xf numFmtId="0" fontId="8" fillId="7" borderId="5" xfId="0" applyFont="1" applyFill="1" applyBorder="1" applyAlignment="1">
      <alignment horizontal="left" vertical="center" wrapText="1" indent="1"/>
    </xf>
    <xf numFmtId="0" fontId="8" fillId="7" borderId="3" xfId="0" applyFont="1" applyFill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10" fillId="2" borderId="0" xfId="0" applyFont="1" applyFill="1" applyAlignment="1">
      <alignment vertical="center"/>
    </xf>
    <xf numFmtId="0" fontId="5" fillId="9" borderId="1" xfId="0" applyFont="1" applyFill="1" applyBorder="1" applyAlignment="1">
      <alignment horizontal="left" vertical="center" wrapText="1" indent="1" readingOrder="1"/>
    </xf>
    <xf numFmtId="0" fontId="4" fillId="4" borderId="2" xfId="0" applyFont="1" applyFill="1" applyBorder="1" applyAlignment="1">
      <alignment horizontal="left" vertical="center" wrapText="1" indent="1"/>
    </xf>
    <xf numFmtId="0" fontId="9" fillId="3" borderId="5" xfId="0" applyFont="1" applyFill="1" applyBorder="1" applyAlignment="1">
      <alignment horizontal="left" vertical="center" wrapText="1" indent="1"/>
    </xf>
    <xf numFmtId="0" fontId="5" fillId="10" borderId="1" xfId="0" applyFont="1" applyFill="1" applyBorder="1" applyAlignment="1">
      <alignment horizontal="left" vertical="center" wrapText="1" indent="1" readingOrder="1"/>
    </xf>
    <xf numFmtId="0" fontId="4" fillId="11" borderId="1" xfId="0" applyFont="1" applyFill="1" applyBorder="1" applyAlignment="1">
      <alignment horizontal="left" vertical="center" wrapText="1" indent="1"/>
    </xf>
    <xf numFmtId="165" fontId="4" fillId="0" borderId="3" xfId="0" applyNumberFormat="1" applyFont="1" applyBorder="1" applyAlignment="1">
      <alignment horizontal="left" vertical="center" wrapText="1" indent="1"/>
    </xf>
    <xf numFmtId="49" fontId="4" fillId="2" borderId="1" xfId="0" applyNumberFormat="1" applyFont="1" applyFill="1" applyBorder="1" applyAlignment="1">
      <alignment horizontal="left" vertical="center" wrapText="1" indent="1"/>
    </xf>
    <xf numFmtId="49" fontId="11" fillId="5" borderId="2" xfId="0" applyNumberFormat="1" applyFont="1" applyFill="1" applyBorder="1" applyAlignment="1">
      <alignment horizontal="left" vertical="center" wrapText="1" indent="1"/>
    </xf>
    <xf numFmtId="0" fontId="12" fillId="5" borderId="2" xfId="0" applyFont="1" applyFill="1" applyBorder="1" applyAlignment="1">
      <alignment horizontal="left" vertical="center" wrapText="1" indent="1"/>
    </xf>
    <xf numFmtId="0" fontId="13" fillId="5" borderId="2" xfId="0" applyFont="1" applyFill="1" applyBorder="1" applyAlignment="1">
      <alignment horizontal="left" vertical="center" wrapText="1" indent="1"/>
    </xf>
    <xf numFmtId="49" fontId="11" fillId="6" borderId="2" xfId="0" applyNumberFormat="1" applyFont="1" applyFill="1" applyBorder="1" applyAlignment="1">
      <alignment horizontal="left" vertical="center" wrapText="1" indent="1"/>
    </xf>
    <xf numFmtId="0" fontId="12" fillId="6" borderId="2" xfId="0" applyFont="1" applyFill="1" applyBorder="1" applyAlignment="1">
      <alignment horizontal="left" vertical="center" wrapText="1" indent="1"/>
    </xf>
    <xf numFmtId="0" fontId="13" fillId="6" borderId="2" xfId="0" applyFont="1" applyFill="1" applyBorder="1" applyAlignment="1">
      <alignment horizontal="left" vertical="center" wrapText="1" indent="1"/>
    </xf>
    <xf numFmtId="49" fontId="11" fillId="16" borderId="2" xfId="0" applyNumberFormat="1" applyFont="1" applyFill="1" applyBorder="1" applyAlignment="1">
      <alignment horizontal="left" vertical="center" wrapText="1" indent="1"/>
    </xf>
    <xf numFmtId="0" fontId="12" fillId="16" borderId="2" xfId="0" applyFont="1" applyFill="1" applyBorder="1" applyAlignment="1">
      <alignment horizontal="left" vertical="center" wrapText="1" indent="1"/>
    </xf>
    <xf numFmtId="0" fontId="13" fillId="16" borderId="2" xfId="0" applyFont="1" applyFill="1" applyBorder="1" applyAlignment="1">
      <alignment horizontal="left" vertical="center" wrapText="1" indent="1"/>
    </xf>
    <xf numFmtId="49" fontId="11" fillId="19" borderId="2" xfId="0" applyNumberFormat="1" applyFont="1" applyFill="1" applyBorder="1" applyAlignment="1">
      <alignment horizontal="left" vertical="center" wrapText="1" indent="1"/>
    </xf>
    <xf numFmtId="0" fontId="12" fillId="19" borderId="2" xfId="0" applyFont="1" applyFill="1" applyBorder="1" applyAlignment="1">
      <alignment horizontal="left" vertical="center" wrapText="1" indent="1"/>
    </xf>
    <xf numFmtId="0" fontId="13" fillId="19" borderId="2" xfId="0" applyFont="1" applyFill="1" applyBorder="1" applyAlignment="1">
      <alignment horizontal="left" vertical="center" wrapText="1" indent="1"/>
    </xf>
    <xf numFmtId="49" fontId="11" fillId="22" borderId="2" xfId="0" applyNumberFormat="1" applyFont="1" applyFill="1" applyBorder="1" applyAlignment="1">
      <alignment horizontal="left" vertical="center" wrapText="1" indent="1"/>
    </xf>
    <xf numFmtId="0" fontId="12" fillId="22" borderId="2" xfId="0" applyFont="1" applyFill="1" applyBorder="1" applyAlignment="1">
      <alignment horizontal="left" vertical="center" wrapText="1" indent="1"/>
    </xf>
    <xf numFmtId="0" fontId="13" fillId="22" borderId="2" xfId="0" applyFont="1" applyFill="1" applyBorder="1" applyAlignment="1">
      <alignment horizontal="left" vertical="center" wrapText="1" indent="1"/>
    </xf>
    <xf numFmtId="49" fontId="11" fillId="25" borderId="2" xfId="0" applyNumberFormat="1" applyFont="1" applyFill="1" applyBorder="1" applyAlignment="1">
      <alignment horizontal="left" vertical="center" wrapText="1" indent="1"/>
    </xf>
    <xf numFmtId="0" fontId="12" fillId="25" borderId="2" xfId="0" applyFont="1" applyFill="1" applyBorder="1" applyAlignment="1">
      <alignment horizontal="left" vertical="center" wrapText="1" indent="1"/>
    </xf>
    <xf numFmtId="0" fontId="13" fillId="25" borderId="2" xfId="0" applyFont="1" applyFill="1" applyBorder="1" applyAlignment="1">
      <alignment horizontal="left" vertical="center" wrapText="1" indent="1"/>
    </xf>
    <xf numFmtId="49" fontId="11" fillId="28" borderId="2" xfId="0" applyNumberFormat="1" applyFont="1" applyFill="1" applyBorder="1" applyAlignment="1">
      <alignment horizontal="left" vertical="center" wrapText="1" indent="1"/>
    </xf>
    <xf numFmtId="0" fontId="12" fillId="28" borderId="2" xfId="0" applyFont="1" applyFill="1" applyBorder="1" applyAlignment="1">
      <alignment horizontal="left" vertical="center" wrapText="1" indent="1"/>
    </xf>
    <xf numFmtId="0" fontId="13" fillId="28" borderId="2" xfId="0" applyFont="1" applyFill="1" applyBorder="1" applyAlignment="1">
      <alignment horizontal="left" vertical="center" wrapText="1" indent="1"/>
    </xf>
    <xf numFmtId="49" fontId="11" fillId="31" borderId="2" xfId="0" applyNumberFormat="1" applyFont="1" applyFill="1" applyBorder="1" applyAlignment="1">
      <alignment horizontal="left" vertical="center" wrapText="1" indent="1"/>
    </xf>
    <xf numFmtId="0" fontId="12" fillId="31" borderId="2" xfId="0" applyFont="1" applyFill="1" applyBorder="1" applyAlignment="1">
      <alignment horizontal="left" vertical="center" wrapText="1" indent="1"/>
    </xf>
    <xf numFmtId="0" fontId="13" fillId="31" borderId="2" xfId="0" applyFont="1" applyFill="1" applyBorder="1" applyAlignment="1">
      <alignment horizontal="left" vertical="center" wrapText="1" indent="1"/>
    </xf>
    <xf numFmtId="166" fontId="11" fillId="12" borderId="2" xfId="0" applyNumberFormat="1" applyFont="1" applyFill="1" applyBorder="1" applyAlignment="1">
      <alignment horizontal="left" vertical="center" wrapText="1" indent="1"/>
    </xf>
    <xf numFmtId="166" fontId="11" fillId="12" borderId="6" xfId="0" applyNumberFormat="1" applyFont="1" applyFill="1" applyBorder="1" applyAlignment="1">
      <alignment horizontal="left" vertical="center" wrapText="1" indent="1"/>
    </xf>
    <xf numFmtId="166" fontId="5" fillId="0" borderId="1" xfId="0" applyNumberFormat="1" applyFont="1" applyBorder="1" applyAlignment="1">
      <alignment horizontal="left" vertical="center" wrapText="1" indent="1" readingOrder="1"/>
    </xf>
    <xf numFmtId="166" fontId="11" fillId="14" borderId="2" xfId="0" applyNumberFormat="1" applyFont="1" applyFill="1" applyBorder="1" applyAlignment="1">
      <alignment horizontal="left" vertical="center" wrapText="1" indent="1"/>
    </xf>
    <xf numFmtId="166" fontId="11" fillId="14" borderId="6" xfId="0" applyNumberFormat="1" applyFont="1" applyFill="1" applyBorder="1" applyAlignment="1">
      <alignment horizontal="left" vertical="center" wrapText="1" indent="1"/>
    </xf>
    <xf numFmtId="166" fontId="11" fillId="17" borderId="2" xfId="0" applyNumberFormat="1" applyFont="1" applyFill="1" applyBorder="1" applyAlignment="1">
      <alignment horizontal="left" vertical="center" wrapText="1" indent="1"/>
    </xf>
    <xf numFmtId="166" fontId="11" fillId="17" borderId="6" xfId="0" applyNumberFormat="1" applyFont="1" applyFill="1" applyBorder="1" applyAlignment="1">
      <alignment horizontal="left" vertical="center" wrapText="1" indent="1"/>
    </xf>
    <xf numFmtId="166" fontId="11" fillId="20" borderId="2" xfId="0" applyNumberFormat="1" applyFont="1" applyFill="1" applyBorder="1" applyAlignment="1">
      <alignment horizontal="left" vertical="center" wrapText="1" indent="1"/>
    </xf>
    <xf numFmtId="166" fontId="11" fillId="20" borderId="6" xfId="0" applyNumberFormat="1" applyFont="1" applyFill="1" applyBorder="1" applyAlignment="1">
      <alignment horizontal="left" vertical="center" wrapText="1" indent="1"/>
    </xf>
    <xf numFmtId="166" fontId="11" fillId="23" borderId="2" xfId="0" applyNumberFormat="1" applyFont="1" applyFill="1" applyBorder="1" applyAlignment="1">
      <alignment horizontal="left" vertical="center" wrapText="1" indent="1"/>
    </xf>
    <xf numFmtId="166" fontId="11" fillId="23" borderId="6" xfId="0" applyNumberFormat="1" applyFont="1" applyFill="1" applyBorder="1" applyAlignment="1">
      <alignment horizontal="left" vertical="center" wrapText="1" indent="1"/>
    </xf>
    <xf numFmtId="166" fontId="11" fillId="26" borderId="2" xfId="0" applyNumberFormat="1" applyFont="1" applyFill="1" applyBorder="1" applyAlignment="1">
      <alignment horizontal="left" vertical="center" wrapText="1" indent="1"/>
    </xf>
    <xf numFmtId="166" fontId="11" fillId="26" borderId="6" xfId="0" applyNumberFormat="1" applyFont="1" applyFill="1" applyBorder="1" applyAlignment="1">
      <alignment horizontal="left" vertical="center" wrapText="1" indent="1"/>
    </xf>
    <xf numFmtId="166" fontId="11" fillId="29" borderId="2" xfId="0" applyNumberFormat="1" applyFont="1" applyFill="1" applyBorder="1" applyAlignment="1">
      <alignment horizontal="left" vertical="center" wrapText="1" indent="1"/>
    </xf>
    <xf numFmtId="166" fontId="11" fillId="29" borderId="6" xfId="0" applyNumberFormat="1" applyFont="1" applyFill="1" applyBorder="1" applyAlignment="1">
      <alignment horizontal="left" vertical="center" wrapText="1" indent="1"/>
    </xf>
    <xf numFmtId="166" fontId="11" fillId="32" borderId="2" xfId="0" applyNumberFormat="1" applyFont="1" applyFill="1" applyBorder="1" applyAlignment="1">
      <alignment horizontal="left" vertical="center" wrapText="1" indent="1"/>
    </xf>
    <xf numFmtId="166" fontId="11" fillId="32" borderId="6" xfId="0" applyNumberFormat="1" applyFont="1" applyFill="1" applyBorder="1" applyAlignment="1">
      <alignment horizontal="left" vertical="center" wrapText="1" indent="1"/>
    </xf>
    <xf numFmtId="0" fontId="11" fillId="5" borderId="0" xfId="0" applyFont="1" applyFill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wrapText="1" indent="1"/>
    </xf>
    <xf numFmtId="0" fontId="11" fillId="16" borderId="0" xfId="0" applyFont="1" applyFill="1" applyAlignment="1">
      <alignment horizontal="left" vertical="center" wrapText="1" indent="1"/>
    </xf>
    <xf numFmtId="0" fontId="11" fillId="19" borderId="0" xfId="0" applyFont="1" applyFill="1" applyAlignment="1">
      <alignment horizontal="left" vertical="center" wrapText="1" indent="1"/>
    </xf>
    <xf numFmtId="0" fontId="11" fillId="22" borderId="0" xfId="0" applyFont="1" applyFill="1" applyAlignment="1">
      <alignment horizontal="left" vertical="center" wrapText="1" indent="1"/>
    </xf>
    <xf numFmtId="0" fontId="11" fillId="25" borderId="0" xfId="0" applyFont="1" applyFill="1" applyAlignment="1">
      <alignment horizontal="left" vertical="center" wrapText="1" indent="1"/>
    </xf>
    <xf numFmtId="0" fontId="11" fillId="28" borderId="0" xfId="0" applyFont="1" applyFill="1" applyAlignment="1">
      <alignment horizontal="left" vertical="center" wrapText="1" indent="1"/>
    </xf>
    <xf numFmtId="0" fontId="11" fillId="31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 wrapText="1"/>
    </xf>
    <xf numFmtId="1" fontId="4" fillId="8" borderId="7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" fontId="11" fillId="12" borderId="2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1" fontId="11" fillId="14" borderId="2" xfId="0" applyNumberFormat="1" applyFont="1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11" fillId="17" borderId="2" xfId="0" applyNumberFormat="1" applyFont="1" applyFill="1" applyBorder="1" applyAlignment="1">
      <alignment horizontal="center" vertical="center" wrapText="1"/>
    </xf>
    <xf numFmtId="1" fontId="4" fillId="18" borderId="1" xfId="0" applyNumberFormat="1" applyFont="1" applyFill="1" applyBorder="1" applyAlignment="1">
      <alignment horizontal="center" vertical="center" wrapText="1"/>
    </xf>
    <xf numFmtId="1" fontId="11" fillId="20" borderId="2" xfId="0" applyNumberFormat="1" applyFont="1" applyFill="1" applyBorder="1" applyAlignment="1">
      <alignment horizontal="center" vertical="center" wrapText="1"/>
    </xf>
    <xf numFmtId="1" fontId="4" fillId="21" borderId="1" xfId="0" applyNumberFormat="1" applyFont="1" applyFill="1" applyBorder="1" applyAlignment="1">
      <alignment horizontal="center" vertical="center" wrapText="1"/>
    </xf>
    <xf numFmtId="1" fontId="11" fillId="23" borderId="2" xfId="0" applyNumberFormat="1" applyFont="1" applyFill="1" applyBorder="1" applyAlignment="1">
      <alignment horizontal="center" vertical="center" wrapText="1"/>
    </xf>
    <xf numFmtId="1" fontId="4" fillId="24" borderId="1" xfId="0" applyNumberFormat="1" applyFont="1" applyFill="1" applyBorder="1" applyAlignment="1">
      <alignment horizontal="center" vertical="center" wrapText="1"/>
    </xf>
    <xf numFmtId="1" fontId="11" fillId="26" borderId="2" xfId="0" applyNumberFormat="1" applyFont="1" applyFill="1" applyBorder="1" applyAlignment="1">
      <alignment horizontal="center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11" fillId="29" borderId="2" xfId="0" applyNumberFormat="1" applyFont="1" applyFill="1" applyBorder="1" applyAlignment="1">
      <alignment horizontal="center" vertical="center" wrapText="1"/>
    </xf>
    <xf numFmtId="1" fontId="4" fillId="30" borderId="1" xfId="0" applyNumberFormat="1" applyFont="1" applyFill="1" applyBorder="1" applyAlignment="1">
      <alignment horizontal="center" vertical="center" wrapText="1"/>
    </xf>
    <xf numFmtId="1" fontId="11" fillId="32" borderId="2" xfId="0" applyNumberFormat="1" applyFont="1" applyFill="1" applyBorder="1" applyAlignment="1">
      <alignment horizontal="center" vertical="center" wrapText="1"/>
    </xf>
    <xf numFmtId="1" fontId="4" fillId="3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8">
    <dxf>
      <fill>
        <patternFill>
          <bgColor rgb="FFD9D9D9"/>
        </patternFill>
      </fill>
    </dxf>
    <dxf>
      <fill>
        <patternFill>
          <bgColor rgb="FFF4B183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  <dxf>
      <fill>
        <patternFill>
          <bgColor rgb="FFD9D9D9"/>
        </patternFill>
      </fill>
    </dxf>
    <dxf>
      <fill>
        <patternFill>
          <bgColor rgb="FFF4B183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'Cronograma Farmaps'!$F$7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'Cronograma Farmaps'!$C$8:$C$54</c:f>
              <c:strCache>
                <c:ptCount val="47"/>
                <c:pt idx="0">
                  <c:v>Concepción e inicio del proyecto</c:v>
                </c:pt>
                <c:pt idx="1">
                  <c:v>– M01 Elaborar y actualizar el acta de constitución</c:v>
                </c:pt>
                <c:pt idx="2">
                  <c:v>– M02 Detallar necesidades y requisitos del sistema</c:v>
                </c:pt>
                <c:pt idx="3">
                  <c:v>Planificación del proyecto</c:v>
                </c:pt>
                <c:pt idx="4">
                  <c:v>– M04 Elaborar EDT y lista de actividades</c:v>
                </c:pt>
                <c:pt idx="5">
                  <c:v>– M03 Detallar el cronograma y la disponibilidad de trabajo</c:v>
                </c:pt>
                <c:pt idx="6">
                  <c:v>– M05 Elaborar el presupuesto del proyecto</c:v>
                </c:pt>
                <c:pt idx="7">
                  <c:v>– M06 Evaluar riesgos y definir respuestas</c:v>
                </c:pt>
                <c:pt idx="8">
                  <c:v>– M07 Presentar alcance y criterios para aprobación académica</c:v>
                </c:pt>
                <c:pt idx="9">
                  <c:v>Diseño del sistema</c:v>
                </c:pt>
                <c:pt idx="10">
                  <c:v>– S01 Diseñar navegación y prototipos de interfaz</c:v>
                </c:pt>
                <c:pt idx="11">
                  <c:v>– S02 Diseñar modelo y diccionario de datos</c:v>
                </c:pt>
                <c:pt idx="12">
                  <c:v>– S03 Definir arquitectura, tecnologías y servicios</c:v>
                </c:pt>
                <c:pt idx="13">
                  <c:v>– S05 Revisar el diseño frente al alcance aprobado</c:v>
                </c:pt>
                <c:pt idx="14">
                  <c:v>Construcción del prototipo</c:v>
                </c:pt>
                <c:pt idx="15">
                  <c:v>– A01 Configurar el entorno y el repositorio</c:v>
                </c:pt>
                <c:pt idx="16">
                  <c:v>– A02 Implementar la base de datos y sus validaciones</c:v>
                </c:pt>
                <c:pt idx="17">
                  <c:v>– A03 Preparar el catálogo de demostración</c:v>
                </c:pt>
                <c:pt idx="18">
                  <c:v>– A04 Desarrollar consultas y búsqueda de medicamentos</c:v>
                </c:pt>
                <c:pt idx="19">
                  <c:v>– A05 Implementar el acceso administrativo</c:v>
                </c:pt>
                <c:pt idx="20">
                  <c:v>– A06 Implementar la gestión del catálogo</c:v>
                </c:pt>
                <c:pt idx="21">
                  <c:v>– A07 Desarrollar la búsqueda y lista de resultados</c:v>
                </c:pt>
                <c:pt idx="22">
                  <c:v>Integración del prototipo</c:v>
                </c:pt>
                <c:pt idx="23">
                  <c:v>– A08 Integrar el mapa y las fichas de farmacias</c:v>
                </c:pt>
                <c:pt idx="24">
                  <c:v>– A09 Implementar ubicación y distancia aproximada</c:v>
                </c:pt>
                <c:pt idx="25">
                  <c:v>– A10 Implementar comparación y ordenamiento</c:v>
                </c:pt>
                <c:pt idx="26">
                  <c:v>– A11 Integrar interfaz adaptable y manejo de errores</c:v>
                </c:pt>
                <c:pt idx="27">
                  <c:v>– A12 Preparar despliegue demostrativo y respaldos</c:v>
                </c:pt>
                <c:pt idx="28">
                  <c:v>– A13 Comprobar la integración del prototipo</c:v>
                </c:pt>
                <c:pt idx="29">
                  <c:v>– A14 Estabilizar la versión integrada del prototipo</c:v>
                </c:pt>
                <c:pt idx="30">
                  <c:v>Pruebas del prototipo</c:v>
                </c:pt>
                <c:pt idx="31">
                  <c:v>– S04 Preparar casos de prueba y resultados esperados</c:v>
                </c:pt>
                <c:pt idx="32">
                  <c:v>– A15 Ejecutar pruebas funcionales y de datos</c:v>
                </c:pt>
                <c:pt idx="33">
                  <c:v>– A16 Probar distancia, permisos y acceso restringido</c:v>
                </c:pt>
                <c:pt idx="34">
                  <c:v>– A17 Evaluar usabilidad y compatibilidad</c:v>
                </c:pt>
                <c:pt idx="35">
                  <c:v>– A18 Medir rendimiento y registrar incidencias</c:v>
                </c:pt>
                <c:pt idx="36">
                  <c:v>– A19 Corregir defectos y ejecutar regresión</c:v>
                </c:pt>
                <c:pt idx="37">
                  <c:v>– A20 Realizar ajustes finales y estabilizar la versión</c:v>
                </c:pt>
                <c:pt idx="38">
                  <c:v>– A21 Publicar y respaldar la versión final</c:v>
                </c:pt>
                <c:pt idx="39">
                  <c:v>Seguimiento y control</c:v>
                </c:pt>
                <c:pt idx="40">
                  <c:v>– M09 Registrar seguimiento, incidencias y decisiones</c:v>
                </c:pt>
                <c:pt idx="41">
                  <c:v>– M08 Solicitar autorización de cambios de alcance o plazo</c:v>
                </c:pt>
                <c:pt idx="42">
                  <c:v>Cierre del proyecto</c:v>
                </c:pt>
                <c:pt idx="43">
                  <c:v>– M10 Elaborar manuales de usuario, instalación y administración</c:v>
                </c:pt>
                <c:pt idx="44">
                  <c:v>– M11 Consolidar informe final y entregables</c:v>
                </c:pt>
                <c:pt idx="45">
                  <c:v>– M12 Preparar y realizar la sustentación del proyecto</c:v>
                </c:pt>
                <c:pt idx="46">
                  <c:v>– M13 Presentar la entrega para evaluación académica</c:v>
                </c:pt>
              </c:strCache>
            </c:strRef>
          </c:cat>
          <c:val>
            <c:numRef>
              <c:f>'Cronograma Farmaps'!$F$8:$F$54</c:f>
              <c:numCache>
                <c:formatCode>dd/mm</c:formatCode>
                <c:ptCount val="47"/>
                <c:pt idx="0">
                  <c:v>46237</c:v>
                </c:pt>
                <c:pt idx="1">
                  <c:v>46237</c:v>
                </c:pt>
                <c:pt idx="2">
                  <c:v>46244</c:v>
                </c:pt>
                <c:pt idx="3">
                  <c:v>46258</c:v>
                </c:pt>
                <c:pt idx="4">
                  <c:v>46258</c:v>
                </c:pt>
                <c:pt idx="5">
                  <c:v>46265</c:v>
                </c:pt>
                <c:pt idx="6">
                  <c:v>46272</c:v>
                </c:pt>
                <c:pt idx="7">
                  <c:v>46275</c:v>
                </c:pt>
                <c:pt idx="8">
                  <c:v>46286</c:v>
                </c:pt>
                <c:pt idx="9">
                  <c:v>46279</c:v>
                </c:pt>
                <c:pt idx="10">
                  <c:v>46279</c:v>
                </c:pt>
                <c:pt idx="11">
                  <c:v>46286</c:v>
                </c:pt>
                <c:pt idx="12">
                  <c:v>46293</c:v>
                </c:pt>
                <c:pt idx="13">
                  <c:v>46297</c:v>
                </c:pt>
                <c:pt idx="14">
                  <c:v>46300</c:v>
                </c:pt>
                <c:pt idx="15">
                  <c:v>46300</c:v>
                </c:pt>
                <c:pt idx="16">
                  <c:v>46301</c:v>
                </c:pt>
                <c:pt idx="17">
                  <c:v>46307</c:v>
                </c:pt>
                <c:pt idx="18">
                  <c:v>46310</c:v>
                </c:pt>
                <c:pt idx="19">
                  <c:v>46314</c:v>
                </c:pt>
                <c:pt idx="20">
                  <c:v>46316</c:v>
                </c:pt>
                <c:pt idx="21">
                  <c:v>46319</c:v>
                </c:pt>
                <c:pt idx="22">
                  <c:v>46322</c:v>
                </c:pt>
                <c:pt idx="23">
                  <c:v>46322</c:v>
                </c:pt>
                <c:pt idx="24">
                  <c:v>46325</c:v>
                </c:pt>
                <c:pt idx="25">
                  <c:v>46328</c:v>
                </c:pt>
                <c:pt idx="26">
                  <c:v>46330</c:v>
                </c:pt>
                <c:pt idx="27">
                  <c:v>46333</c:v>
                </c:pt>
                <c:pt idx="28">
                  <c:v>46335</c:v>
                </c:pt>
                <c:pt idx="29">
                  <c:v>46337</c:v>
                </c:pt>
                <c:pt idx="30">
                  <c:v>46335</c:v>
                </c:pt>
                <c:pt idx="31">
                  <c:v>46335</c:v>
                </c:pt>
                <c:pt idx="32">
                  <c:v>46338</c:v>
                </c:pt>
                <c:pt idx="33">
                  <c:v>46340</c:v>
                </c:pt>
                <c:pt idx="34">
                  <c:v>46342</c:v>
                </c:pt>
                <c:pt idx="35">
                  <c:v>46344</c:v>
                </c:pt>
                <c:pt idx="36">
                  <c:v>46345</c:v>
                </c:pt>
                <c:pt idx="37">
                  <c:v>46347</c:v>
                </c:pt>
                <c:pt idx="38">
                  <c:v>46348</c:v>
                </c:pt>
                <c:pt idx="39">
                  <c:v>46237</c:v>
                </c:pt>
                <c:pt idx="40">
                  <c:v>46237</c:v>
                </c:pt>
                <c:pt idx="41">
                  <c:v>46288</c:v>
                </c:pt>
                <c:pt idx="42">
                  <c:v>46342</c:v>
                </c:pt>
                <c:pt idx="43">
                  <c:v>46342</c:v>
                </c:pt>
                <c:pt idx="44">
                  <c:v>46344</c:v>
                </c:pt>
                <c:pt idx="45">
                  <c:v>46346</c:v>
                </c:pt>
                <c:pt idx="46">
                  <c:v>46348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'Cronograma Farmaps'!$H$7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73B0D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73B0D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007134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73B18F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73B18F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73B18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73B18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73B18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spPr>
              <a:solidFill>
                <a:srgbClr val="BF8F0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rgbClr val="DCC173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1"/>
            <c:invertIfNegative val="0"/>
            <c:bubble3D val="0"/>
            <c:spPr>
              <a:solidFill>
                <a:srgbClr val="DCC173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spPr>
              <a:solidFill>
                <a:srgbClr val="DCC173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rgbClr val="DCC173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rgbClr val="80808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spPr>
              <a:solidFill>
                <a:srgbClr val="B9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16"/>
            <c:invertIfNegative val="0"/>
            <c:bubble3D val="0"/>
            <c:spPr>
              <a:solidFill>
                <a:srgbClr val="B9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956-514D-99D3-3E9537F022EF}"/>
              </c:ext>
            </c:extLst>
          </c:dPt>
          <c:dPt>
            <c:idx val="17"/>
            <c:invertIfNegative val="0"/>
            <c:bubble3D val="0"/>
            <c:spPr>
              <a:solidFill>
                <a:srgbClr val="B9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956-514D-99D3-3E9537F022EF}"/>
              </c:ext>
            </c:extLst>
          </c:dPt>
          <c:dPt>
            <c:idx val="18"/>
            <c:invertIfNegative val="0"/>
            <c:bubble3D val="0"/>
            <c:spPr>
              <a:solidFill>
                <a:srgbClr val="B9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956-514D-99D3-3E9537F022EF}"/>
              </c:ext>
            </c:extLst>
          </c:dPt>
          <c:dPt>
            <c:idx val="19"/>
            <c:invertIfNegative val="0"/>
            <c:bubble3D val="0"/>
            <c:spPr>
              <a:solidFill>
                <a:srgbClr val="B9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D7A-C64A-8378-D8C2DF30004B}"/>
              </c:ext>
            </c:extLst>
          </c:dPt>
          <c:dPt>
            <c:idx val="20"/>
            <c:invertIfNegative val="0"/>
            <c:bubble3D val="0"/>
            <c:spPr>
              <a:solidFill>
                <a:srgbClr val="B9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D7A-C64A-8378-D8C2DF30004B}"/>
              </c:ext>
            </c:extLst>
          </c:dPt>
          <c:dPt>
            <c:idx val="21"/>
            <c:invertIfNegative val="0"/>
            <c:bubble3D val="0"/>
            <c:spPr>
              <a:solidFill>
                <a:srgbClr val="B9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BD7A-C64A-8378-D8C2DF30004B}"/>
              </c:ext>
            </c:extLst>
          </c:dPt>
          <c:dPt>
            <c:idx val="22"/>
            <c:invertIfNegative val="0"/>
            <c:bubble3D val="0"/>
            <c:spPr>
              <a:solidFill>
                <a:srgbClr val="7030A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D7A-C64A-8378-D8C2DF30004B}"/>
              </c:ext>
            </c:extLst>
          </c:dPt>
          <c:dPt>
            <c:idx val="23"/>
            <c:invertIfNegative val="0"/>
            <c:bubble3D val="0"/>
            <c:spPr>
              <a:solidFill>
                <a:srgbClr val="B08DCB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BD7A-C64A-8378-D8C2DF30004B}"/>
              </c:ext>
            </c:extLst>
          </c:dPt>
          <c:dPt>
            <c:idx val="24"/>
            <c:invertIfNegative val="0"/>
            <c:bubble3D val="0"/>
            <c:spPr>
              <a:solidFill>
                <a:srgbClr val="B08DCB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BD7A-C64A-8378-D8C2DF30004B}"/>
              </c:ext>
            </c:extLst>
          </c:dPt>
          <c:dPt>
            <c:idx val="25"/>
            <c:invertIfNegative val="0"/>
            <c:bubble3D val="0"/>
            <c:spPr>
              <a:solidFill>
                <a:srgbClr val="B08DCB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BD7A-C64A-8378-D8C2DF30004B}"/>
              </c:ext>
            </c:extLst>
          </c:dPt>
          <c:dPt>
            <c:idx val="26"/>
            <c:invertIfNegative val="0"/>
            <c:bubble3D val="0"/>
            <c:spPr>
              <a:solidFill>
                <a:srgbClr val="B08DCB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D7A-C64A-8378-D8C2DF30004B}"/>
              </c:ext>
            </c:extLst>
          </c:dPt>
          <c:dPt>
            <c:idx val="27"/>
            <c:invertIfNegative val="0"/>
            <c:bubble3D val="0"/>
            <c:spPr>
              <a:solidFill>
                <a:srgbClr val="B08DCB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BD7A-C64A-8378-D8C2DF30004B}"/>
              </c:ext>
            </c:extLst>
          </c:dPt>
          <c:dPt>
            <c:idx val="28"/>
            <c:invertIfNegative val="0"/>
            <c:bubble3D val="0"/>
            <c:spPr>
              <a:solidFill>
                <a:srgbClr val="B08DCB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BD7A-C64A-8378-D8C2DF30004B}"/>
              </c:ext>
            </c:extLst>
          </c:dPt>
          <c:dPt>
            <c:idx val="29"/>
            <c:invertIfNegative val="0"/>
            <c:bubble3D val="0"/>
            <c:spPr>
              <a:solidFill>
                <a:srgbClr val="B08DCB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BD7A-C64A-8378-D8C2DF30004B}"/>
              </c:ext>
            </c:extLst>
          </c:dPt>
          <c:dPt>
            <c:idx val="30"/>
            <c:invertIfNegative val="0"/>
            <c:bubble3D val="0"/>
            <c:spPr>
              <a:solidFill>
                <a:srgbClr val="C55A11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BD7A-C64A-8378-D8C2DF30004B}"/>
              </c:ext>
            </c:extLst>
          </c:dPt>
          <c:dPt>
            <c:idx val="31"/>
            <c:invertIfNegative val="0"/>
            <c:bubble3D val="0"/>
            <c:spPr>
              <a:solidFill>
                <a:srgbClr val="DFA47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BD7A-C64A-8378-D8C2DF30004B}"/>
              </c:ext>
            </c:extLst>
          </c:dPt>
          <c:dPt>
            <c:idx val="32"/>
            <c:invertIfNegative val="0"/>
            <c:bubble3D val="0"/>
            <c:spPr>
              <a:solidFill>
                <a:srgbClr val="DFA47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BD7A-C64A-8378-D8C2DF30004B}"/>
              </c:ext>
            </c:extLst>
          </c:dPt>
          <c:dPt>
            <c:idx val="33"/>
            <c:invertIfNegative val="0"/>
            <c:bubble3D val="0"/>
            <c:spPr>
              <a:solidFill>
                <a:srgbClr val="DFA47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C628-4006-950B-B8A398544292}"/>
              </c:ext>
            </c:extLst>
          </c:dPt>
          <c:dPt>
            <c:idx val="34"/>
            <c:invertIfNegative val="0"/>
            <c:bubble3D val="0"/>
            <c:spPr>
              <a:solidFill>
                <a:srgbClr val="DFA47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C628-4006-950B-B8A398544292}"/>
              </c:ext>
            </c:extLst>
          </c:dPt>
          <c:dPt>
            <c:idx val="35"/>
            <c:invertIfNegative val="0"/>
            <c:bubble3D val="0"/>
            <c:spPr>
              <a:solidFill>
                <a:srgbClr val="DFA47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C628-4006-950B-B8A398544292}"/>
              </c:ext>
            </c:extLst>
          </c:dPt>
          <c:dPt>
            <c:idx val="36"/>
            <c:invertIfNegative val="0"/>
            <c:bubble3D val="0"/>
            <c:spPr>
              <a:solidFill>
                <a:srgbClr val="DFA47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C628-4006-950B-B8A398544292}"/>
              </c:ext>
            </c:extLst>
          </c:dPt>
          <c:dPt>
            <c:idx val="37"/>
            <c:invertIfNegative val="0"/>
            <c:bubble3D val="0"/>
            <c:spPr>
              <a:solidFill>
                <a:srgbClr val="DFA47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C628-4006-950B-B8A398544292}"/>
              </c:ext>
            </c:extLst>
          </c:dPt>
          <c:dPt>
            <c:idx val="38"/>
            <c:invertIfNegative val="0"/>
            <c:bubble3D val="0"/>
            <c:spPr>
              <a:solidFill>
                <a:srgbClr val="DFA47C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C628-4006-950B-B8A398544292}"/>
              </c:ext>
            </c:extLst>
          </c:dPt>
          <c:dPt>
            <c:idx val="39"/>
            <c:invertIfNegative val="0"/>
            <c:bubble3D val="0"/>
            <c:spPr>
              <a:solidFill>
                <a:srgbClr val="1F386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C628-4006-950B-B8A398544292}"/>
              </c:ext>
            </c:extLst>
          </c:dPt>
          <c:dPt>
            <c:idx val="40"/>
            <c:invertIfNegative val="0"/>
            <c:bubble3D val="0"/>
            <c:spPr>
              <a:solidFill>
                <a:srgbClr val="8492AA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C628-4006-950B-B8A398544292}"/>
              </c:ext>
            </c:extLst>
          </c:dPt>
          <c:dPt>
            <c:idx val="41"/>
            <c:invertIfNegative val="0"/>
            <c:bubble3D val="0"/>
            <c:spPr>
              <a:solidFill>
                <a:srgbClr val="8492AA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C628-4006-950B-B8A398544292}"/>
              </c:ext>
            </c:extLst>
          </c:dPt>
          <c:dPt>
            <c:idx val="42"/>
            <c:invertIfNegative val="0"/>
            <c:bubble3D val="0"/>
            <c:spPr>
              <a:solidFill>
                <a:srgbClr val="00807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C628-4006-950B-B8A398544292}"/>
              </c:ext>
            </c:extLst>
          </c:dPt>
          <c:dPt>
            <c:idx val="43"/>
            <c:invertIfNegative val="0"/>
            <c:bubble3D val="0"/>
            <c:spPr>
              <a:solidFill>
                <a:srgbClr val="73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C628-4006-950B-B8A398544292}"/>
              </c:ext>
            </c:extLst>
          </c:dPt>
          <c:dPt>
            <c:idx val="44"/>
            <c:invertIfNegative val="0"/>
            <c:bubble3D val="0"/>
            <c:spPr>
              <a:solidFill>
                <a:srgbClr val="73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C628-4006-950B-B8A398544292}"/>
              </c:ext>
            </c:extLst>
          </c:dPt>
          <c:dPt>
            <c:idx val="45"/>
            <c:invertIfNegative val="0"/>
            <c:bubble3D val="0"/>
            <c:spPr>
              <a:solidFill>
                <a:srgbClr val="73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C628-4006-950B-B8A398544292}"/>
              </c:ext>
            </c:extLst>
          </c:dPt>
          <c:dPt>
            <c:idx val="46"/>
            <c:invertIfNegative val="0"/>
            <c:bubble3D val="0"/>
            <c:spPr>
              <a:solidFill>
                <a:srgbClr val="73B9B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C628-4006-950B-B8A398544292}"/>
              </c:ext>
            </c:extLst>
          </c:dPt>
          <c:cat>
            <c:strRef>
              <c:f>'Cronograma Farmaps'!$C$8:$C$54</c:f>
              <c:strCache>
                <c:ptCount val="47"/>
                <c:pt idx="0">
                  <c:v>Concepción e inicio del proyecto</c:v>
                </c:pt>
                <c:pt idx="1">
                  <c:v>– M01 Elaborar y actualizar el acta de constitución</c:v>
                </c:pt>
                <c:pt idx="2">
                  <c:v>– M02 Detallar necesidades y requisitos del sistema</c:v>
                </c:pt>
                <c:pt idx="3">
                  <c:v>Planificación del proyecto</c:v>
                </c:pt>
                <c:pt idx="4">
                  <c:v>– M04 Elaborar EDT y lista de actividades</c:v>
                </c:pt>
                <c:pt idx="5">
                  <c:v>– M03 Detallar el cronograma y la disponibilidad de trabajo</c:v>
                </c:pt>
                <c:pt idx="6">
                  <c:v>– M05 Elaborar el presupuesto del proyecto</c:v>
                </c:pt>
                <c:pt idx="7">
                  <c:v>– M06 Evaluar riesgos y definir respuestas</c:v>
                </c:pt>
                <c:pt idx="8">
                  <c:v>– M07 Presentar alcance y criterios para aprobación académica</c:v>
                </c:pt>
                <c:pt idx="9">
                  <c:v>Diseño del sistema</c:v>
                </c:pt>
                <c:pt idx="10">
                  <c:v>– S01 Diseñar navegación y prototipos de interfaz</c:v>
                </c:pt>
                <c:pt idx="11">
                  <c:v>– S02 Diseñar modelo y diccionario de datos</c:v>
                </c:pt>
                <c:pt idx="12">
                  <c:v>– S03 Definir arquitectura, tecnologías y servicios</c:v>
                </c:pt>
                <c:pt idx="13">
                  <c:v>– S05 Revisar el diseño frente al alcance aprobado</c:v>
                </c:pt>
                <c:pt idx="14">
                  <c:v>Construcción del prototipo</c:v>
                </c:pt>
                <c:pt idx="15">
                  <c:v>– A01 Configurar el entorno y el repositorio</c:v>
                </c:pt>
                <c:pt idx="16">
                  <c:v>– A02 Implementar la base de datos y sus validaciones</c:v>
                </c:pt>
                <c:pt idx="17">
                  <c:v>– A03 Preparar el catálogo de demostración</c:v>
                </c:pt>
                <c:pt idx="18">
                  <c:v>– A04 Desarrollar consultas y búsqueda de medicamentos</c:v>
                </c:pt>
                <c:pt idx="19">
                  <c:v>– A05 Implementar el acceso administrativo</c:v>
                </c:pt>
                <c:pt idx="20">
                  <c:v>– A06 Implementar la gestión del catálogo</c:v>
                </c:pt>
                <c:pt idx="21">
                  <c:v>– A07 Desarrollar la búsqueda y lista de resultados</c:v>
                </c:pt>
                <c:pt idx="22">
                  <c:v>Integración del prototipo</c:v>
                </c:pt>
                <c:pt idx="23">
                  <c:v>– A08 Integrar el mapa y las fichas de farmacias</c:v>
                </c:pt>
                <c:pt idx="24">
                  <c:v>– A09 Implementar ubicación y distancia aproximada</c:v>
                </c:pt>
                <c:pt idx="25">
                  <c:v>– A10 Implementar comparación y ordenamiento</c:v>
                </c:pt>
                <c:pt idx="26">
                  <c:v>– A11 Integrar interfaz adaptable y manejo de errores</c:v>
                </c:pt>
                <c:pt idx="27">
                  <c:v>– A12 Preparar despliegue demostrativo y respaldos</c:v>
                </c:pt>
                <c:pt idx="28">
                  <c:v>– A13 Comprobar la integración del prototipo</c:v>
                </c:pt>
                <c:pt idx="29">
                  <c:v>– A14 Estabilizar la versión integrada del prototipo</c:v>
                </c:pt>
                <c:pt idx="30">
                  <c:v>Pruebas del prototipo</c:v>
                </c:pt>
                <c:pt idx="31">
                  <c:v>– S04 Preparar casos de prueba y resultados esperados</c:v>
                </c:pt>
                <c:pt idx="32">
                  <c:v>– A15 Ejecutar pruebas funcionales y de datos</c:v>
                </c:pt>
                <c:pt idx="33">
                  <c:v>– A16 Probar distancia, permisos y acceso restringido</c:v>
                </c:pt>
                <c:pt idx="34">
                  <c:v>– A17 Evaluar usabilidad y compatibilidad</c:v>
                </c:pt>
                <c:pt idx="35">
                  <c:v>– A18 Medir rendimiento y registrar incidencias</c:v>
                </c:pt>
                <c:pt idx="36">
                  <c:v>– A19 Corregir defectos y ejecutar regresión</c:v>
                </c:pt>
                <c:pt idx="37">
                  <c:v>– A20 Realizar ajustes finales y estabilizar la versión</c:v>
                </c:pt>
                <c:pt idx="38">
                  <c:v>– A21 Publicar y respaldar la versión final</c:v>
                </c:pt>
                <c:pt idx="39">
                  <c:v>Seguimiento y control</c:v>
                </c:pt>
                <c:pt idx="40">
                  <c:v>– M09 Registrar seguimiento, incidencias y decisiones</c:v>
                </c:pt>
                <c:pt idx="41">
                  <c:v>– M08 Solicitar autorización de cambios de alcance o plazo</c:v>
                </c:pt>
                <c:pt idx="42">
                  <c:v>Cierre del proyecto</c:v>
                </c:pt>
                <c:pt idx="43">
                  <c:v>– M10 Elaborar manuales de usuario, instalación y administración</c:v>
                </c:pt>
                <c:pt idx="44">
                  <c:v>– M11 Consolidar informe final y entregables</c:v>
                </c:pt>
                <c:pt idx="45">
                  <c:v>– M12 Preparar y realizar la sustentación del proyecto</c:v>
                </c:pt>
                <c:pt idx="46">
                  <c:v>– M13 Presentar la entrega para evaluación académica</c:v>
                </c:pt>
              </c:strCache>
            </c:strRef>
          </c:cat>
          <c:val>
            <c:numRef>
              <c:f>'Cronograma Farmaps'!$H$8:$H$54</c:f>
              <c:numCache>
                <c:formatCode>0</c:formatCode>
                <c:ptCount val="47"/>
                <c:pt idx="0">
                  <c:v>20</c:v>
                </c:pt>
                <c:pt idx="1">
                  <c:v>6</c:v>
                </c:pt>
                <c:pt idx="2">
                  <c:v>13</c:v>
                </c:pt>
                <c:pt idx="3">
                  <c:v>34</c:v>
                </c:pt>
                <c:pt idx="4">
                  <c:v>6</c:v>
                </c:pt>
                <c:pt idx="5">
                  <c:v>6</c:v>
                </c:pt>
                <c:pt idx="6">
                  <c:v>3</c:v>
                </c:pt>
                <c:pt idx="7">
                  <c:v>3</c:v>
                </c:pt>
                <c:pt idx="8">
                  <c:v>6</c:v>
                </c:pt>
                <c:pt idx="9">
                  <c:v>20</c:v>
                </c:pt>
                <c:pt idx="10">
                  <c:v>6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22</c:v>
                </c:pt>
                <c:pt idx="15">
                  <c:v>11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16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14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112</c:v>
                </c:pt>
                <c:pt idx="40">
                  <c:v>112</c:v>
                </c:pt>
                <c:pt idx="41">
                  <c:v>4</c:v>
                </c:pt>
                <c:pt idx="42">
                  <c:v>7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ax val="46349"/>
          <c:min val="46237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dd/mm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7152"/>
        <c:crosses val="autoZero"/>
        <c:crossBetween val="between"/>
        <c:majorUnit val="7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54</xdr:row>
      <xdr:rowOff>127000</xdr:rowOff>
    </xdr:from>
    <xdr:to>
      <xdr:col>8</xdr:col>
      <xdr:colOff>3860800</xdr:colOff>
      <xdr:row>92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100"/>
  <sheetViews>
    <sheetView showGridLines="0" tabSelected="1" zoomScale="70" zoomScaleNormal="70" workbookViewId="0">
      <pane ySplit="1" topLeftCell="A38" activePane="bottomLeft" state="frozen"/>
      <selection pane="bottomLeft" activeCell="K48" sqref="K48"/>
    </sheetView>
  </sheetViews>
  <sheetFormatPr baseColWidth="10" defaultColWidth="11" defaultRowHeight="13.2" outlineLevelRow="1" x14ac:dyDescent="0.25"/>
  <cols>
    <col min="1" max="1" width="3.3984375" style="5" customWidth="1"/>
    <col min="2" max="2" width="7.8984375" style="5" customWidth="1"/>
    <col min="3" max="3" width="57" style="5" bestFit="1" customWidth="1"/>
    <col min="4" max="4" width="12.8984375" style="5" customWidth="1"/>
    <col min="5" max="5" width="20.8984375" style="5" customWidth="1"/>
    <col min="6" max="7" width="8.8984375" style="5" customWidth="1"/>
    <col min="8" max="8" width="11.8984375" style="98" customWidth="1"/>
    <col min="9" max="9" width="50.8984375" style="5" customWidth="1"/>
    <col min="10" max="10" width="3.3984375" style="5" customWidth="1"/>
    <col min="11" max="11" width="12.8984375" style="5" customWidth="1"/>
    <col min="12" max="17" width="11" style="5"/>
    <col min="18" max="18" width="9" style="5" customWidth="1"/>
    <col min="19" max="16384" width="11" style="5"/>
  </cols>
  <sheetData>
    <row r="1" spans="1:258" ht="57" customHeight="1" x14ac:dyDescent="0.3">
      <c r="A1" s="1"/>
      <c r="B1" s="20" t="s">
        <v>18</v>
      </c>
      <c r="D1"/>
      <c r="E1"/>
      <c r="F1"/>
      <c r="G1"/>
      <c r="H1" s="96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12" customFormat="1" ht="18" customHeight="1" x14ac:dyDescent="0.3">
      <c r="A2" s="11"/>
      <c r="B2" s="11"/>
      <c r="C2" s="11" t="s">
        <v>8</v>
      </c>
      <c r="D2" s="11"/>
      <c r="E2" s="11" t="s">
        <v>10</v>
      </c>
      <c r="F2" s="11"/>
      <c r="G2" s="11"/>
      <c r="H2" s="7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</row>
    <row r="3" spans="1:258" ht="30" customHeight="1" thickBot="1" x14ac:dyDescent="0.3">
      <c r="A3" s="1"/>
      <c r="B3" s="1"/>
      <c r="C3" s="13" t="s">
        <v>18</v>
      </c>
      <c r="D3" s="1"/>
      <c r="E3" s="26">
        <f>MIN(F8:F54)</f>
        <v>46237</v>
      </c>
      <c r="F3" s="1"/>
      <c r="G3" s="1"/>
      <c r="H3" s="77" t="s">
        <v>12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12" customFormat="1" ht="18" customHeight="1" thickBot="1" x14ac:dyDescent="0.35">
      <c r="A4" s="11"/>
      <c r="B4" s="11"/>
      <c r="C4" s="14" t="s">
        <v>9</v>
      </c>
      <c r="D4" s="11"/>
      <c r="E4" s="14" t="s">
        <v>11</v>
      </c>
      <c r="F4" s="11"/>
      <c r="G4" s="11"/>
      <c r="H4" s="77" t="s">
        <v>13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</row>
    <row r="5" spans="1:258" ht="30" customHeight="1" thickBot="1" x14ac:dyDescent="0.3">
      <c r="A5" s="1"/>
      <c r="B5" s="1"/>
      <c r="C5" s="19" t="s">
        <v>19</v>
      </c>
      <c r="D5" s="1"/>
      <c r="E5" s="26">
        <f>MAX(G8:G54)</f>
        <v>46348</v>
      </c>
      <c r="F5" s="1"/>
      <c r="G5" s="1"/>
      <c r="H5" s="78">
        <f>IF(E3=0,0,E5-E3)+1</f>
        <v>112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15"/>
      <c r="F6" s="1"/>
      <c r="G6" s="1"/>
      <c r="H6" s="9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9" customFormat="1" ht="35.1" customHeight="1" thickBot="1" x14ac:dyDescent="0.35">
      <c r="A7" s="8"/>
      <c r="B7" s="16" t="s">
        <v>0</v>
      </c>
      <c r="C7" s="16" t="s">
        <v>1</v>
      </c>
      <c r="D7" s="16" t="s">
        <v>2</v>
      </c>
      <c r="E7" s="16" t="s">
        <v>3</v>
      </c>
      <c r="F7" s="17" t="s">
        <v>4</v>
      </c>
      <c r="G7" s="18" t="s">
        <v>5</v>
      </c>
      <c r="H7" s="79" t="s">
        <v>6</v>
      </c>
      <c r="I7" s="16" t="s">
        <v>7</v>
      </c>
      <c r="J7" s="8"/>
      <c r="K7" s="23" t="s">
        <v>2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</row>
    <row r="8" spans="1:258" s="7" customFormat="1" ht="24.9" customHeight="1" x14ac:dyDescent="0.3">
      <c r="A8" s="6"/>
      <c r="B8" s="28" t="s">
        <v>20</v>
      </c>
      <c r="C8" s="69" t="s">
        <v>21</v>
      </c>
      <c r="D8" s="29"/>
      <c r="E8" s="29"/>
      <c r="F8" s="52">
        <f>MIN(F9:F10)</f>
        <v>46237</v>
      </c>
      <c r="G8" s="53">
        <f>MAX(G9:G10)</f>
        <v>46256</v>
      </c>
      <c r="H8" s="80">
        <f t="shared" ref="H8:H54" si="0">IF(F8=0,0,G8-F8)+1</f>
        <v>20</v>
      </c>
      <c r="I8" s="30"/>
      <c r="J8" s="6"/>
      <c r="K8" s="22" t="s">
        <v>16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7" customFormat="1" ht="24.9" customHeight="1" outlineLevel="1" x14ac:dyDescent="0.3">
      <c r="A9" s="6"/>
      <c r="B9" s="27" t="s">
        <v>22</v>
      </c>
      <c r="C9" s="10" t="s">
        <v>23</v>
      </c>
      <c r="D9" s="3" t="s">
        <v>14</v>
      </c>
      <c r="E9" s="4" t="s">
        <v>24</v>
      </c>
      <c r="F9" s="54">
        <v>46237</v>
      </c>
      <c r="G9" s="54">
        <v>46242</v>
      </c>
      <c r="H9" s="81">
        <f t="shared" si="0"/>
        <v>6</v>
      </c>
      <c r="I9" s="2" t="s">
        <v>25</v>
      </c>
      <c r="J9" s="6"/>
      <c r="K9" s="21" t="s">
        <v>15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7" customFormat="1" ht="24.9" customHeight="1" outlineLevel="1" thickBot="1" x14ac:dyDescent="0.35">
      <c r="A10" s="6"/>
      <c r="B10" s="27" t="s">
        <v>26</v>
      </c>
      <c r="C10" s="10" t="s">
        <v>27</v>
      </c>
      <c r="D10" s="3" t="s">
        <v>14</v>
      </c>
      <c r="E10" s="4" t="s">
        <v>24</v>
      </c>
      <c r="F10" s="54">
        <v>46244</v>
      </c>
      <c r="G10" s="54">
        <v>46256</v>
      </c>
      <c r="H10" s="81">
        <f t="shared" si="0"/>
        <v>13</v>
      </c>
      <c r="I10" s="2" t="s">
        <v>28</v>
      </c>
      <c r="J10" s="6"/>
      <c r="K10" s="24" t="s">
        <v>14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7" customFormat="1" ht="24.9" customHeight="1" outlineLevel="1" x14ac:dyDescent="0.3">
      <c r="A11" s="6"/>
      <c r="B11" s="31" t="s">
        <v>29</v>
      </c>
      <c r="C11" s="70" t="s">
        <v>30</v>
      </c>
      <c r="D11" s="32"/>
      <c r="E11" s="32"/>
      <c r="F11" s="55">
        <f>MIN(F12:F16)</f>
        <v>46258</v>
      </c>
      <c r="G11" s="56">
        <f>MAX(G12:G16)</f>
        <v>46291</v>
      </c>
      <c r="H11" s="82">
        <f t="shared" si="0"/>
        <v>34</v>
      </c>
      <c r="I11" s="33"/>
      <c r="J11" s="6"/>
      <c r="K11" s="25" t="s">
        <v>17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24.9" customHeight="1" outlineLevel="1" x14ac:dyDescent="0.25">
      <c r="A12" s="6"/>
      <c r="B12" s="27" t="s">
        <v>31</v>
      </c>
      <c r="C12" s="10" t="s">
        <v>32</v>
      </c>
      <c r="D12" s="3" t="s">
        <v>14</v>
      </c>
      <c r="E12" s="4" t="s">
        <v>24</v>
      </c>
      <c r="F12" s="54">
        <v>46258</v>
      </c>
      <c r="G12" s="54">
        <v>46263</v>
      </c>
      <c r="H12" s="83">
        <f t="shared" si="0"/>
        <v>6</v>
      </c>
      <c r="I12" s="2" t="s">
        <v>33</v>
      </c>
      <c r="J12" s="6"/>
      <c r="K12" s="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24.9" customHeight="1" outlineLevel="1" x14ac:dyDescent="0.25">
      <c r="A13" s="6"/>
      <c r="B13" s="27" t="s">
        <v>34</v>
      </c>
      <c r="C13" s="10" t="s">
        <v>35</v>
      </c>
      <c r="D13" s="3" t="s">
        <v>14</v>
      </c>
      <c r="E13" s="4" t="s">
        <v>24</v>
      </c>
      <c r="F13" s="54">
        <v>46265</v>
      </c>
      <c r="G13" s="54">
        <v>46270</v>
      </c>
      <c r="H13" s="83">
        <f t="shared" si="0"/>
        <v>6</v>
      </c>
      <c r="I13" s="2" t="s">
        <v>36</v>
      </c>
      <c r="J13" s="6"/>
      <c r="K13" s="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26.4" outlineLevel="1" x14ac:dyDescent="0.25">
      <c r="A14" s="6"/>
      <c r="B14" s="27" t="s">
        <v>37</v>
      </c>
      <c r="C14" s="10" t="s">
        <v>38</v>
      </c>
      <c r="D14" s="3" t="s">
        <v>14</v>
      </c>
      <c r="E14" s="4" t="s">
        <v>24</v>
      </c>
      <c r="F14" s="54">
        <v>46272</v>
      </c>
      <c r="G14" s="54">
        <v>46274</v>
      </c>
      <c r="H14" s="83">
        <f t="shared" si="0"/>
        <v>3</v>
      </c>
      <c r="I14" s="2" t="s">
        <v>39</v>
      </c>
      <c r="J14" s="6"/>
      <c r="K14" s="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24.9" customHeight="1" outlineLevel="1" x14ac:dyDescent="0.25">
      <c r="A15" s="6"/>
      <c r="B15" s="27" t="s">
        <v>40</v>
      </c>
      <c r="C15" s="10" t="s">
        <v>41</v>
      </c>
      <c r="D15" s="3" t="s">
        <v>14</v>
      </c>
      <c r="E15" s="4" t="s">
        <v>24</v>
      </c>
      <c r="F15" s="54">
        <v>46275</v>
      </c>
      <c r="G15" s="54">
        <v>46277</v>
      </c>
      <c r="H15" s="83">
        <f t="shared" si="0"/>
        <v>3</v>
      </c>
      <c r="I15" s="2" t="s">
        <v>42</v>
      </c>
      <c r="J15" s="6"/>
      <c r="K15" s="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8.2" thickBot="1" x14ac:dyDescent="0.3">
      <c r="A16" s="6"/>
      <c r="B16" s="27" t="s">
        <v>43</v>
      </c>
      <c r="C16" s="10" t="s">
        <v>44</v>
      </c>
      <c r="D16" s="3" t="s">
        <v>14</v>
      </c>
      <c r="E16" s="4" t="s">
        <v>45</v>
      </c>
      <c r="F16" s="54">
        <v>46286</v>
      </c>
      <c r="G16" s="54">
        <v>46291</v>
      </c>
      <c r="H16" s="83">
        <f t="shared" si="0"/>
        <v>6</v>
      </c>
      <c r="I16" s="2" t="s">
        <v>46</v>
      </c>
      <c r="J16" s="6"/>
      <c r="K16" s="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4.9" customHeight="1" outlineLevel="1" x14ac:dyDescent="0.25">
      <c r="A17" s="6"/>
      <c r="B17" s="34" t="s">
        <v>47</v>
      </c>
      <c r="C17" s="71" t="s">
        <v>48</v>
      </c>
      <c r="D17" s="35"/>
      <c r="E17" s="35"/>
      <c r="F17" s="57">
        <f>MIN(F18:F21)</f>
        <v>46279</v>
      </c>
      <c r="G17" s="58">
        <f>MAX(G18:G21)</f>
        <v>46298</v>
      </c>
      <c r="H17" s="84">
        <f t="shared" si="0"/>
        <v>20</v>
      </c>
      <c r="I17" s="36"/>
      <c r="J17" s="6"/>
      <c r="K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4.9" customHeight="1" outlineLevel="1" x14ac:dyDescent="0.25">
      <c r="A18" s="6"/>
      <c r="B18" s="27" t="s">
        <v>49</v>
      </c>
      <c r="C18" s="10" t="s">
        <v>50</v>
      </c>
      <c r="D18" s="3" t="s">
        <v>14</v>
      </c>
      <c r="E18" s="4" t="s">
        <v>24</v>
      </c>
      <c r="F18" s="54">
        <v>46279</v>
      </c>
      <c r="G18" s="54">
        <v>46284</v>
      </c>
      <c r="H18" s="85">
        <f t="shared" si="0"/>
        <v>6</v>
      </c>
      <c r="I18" s="2" t="s">
        <v>51</v>
      </c>
      <c r="J18" s="6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6.4" outlineLevel="1" x14ac:dyDescent="0.25">
      <c r="A19" s="6"/>
      <c r="B19" s="27" t="s">
        <v>52</v>
      </c>
      <c r="C19" s="10" t="s">
        <v>53</v>
      </c>
      <c r="D19" s="3" t="s">
        <v>14</v>
      </c>
      <c r="E19" s="4" t="s">
        <v>24</v>
      </c>
      <c r="F19" s="54">
        <v>46286</v>
      </c>
      <c r="G19" s="54">
        <v>46291</v>
      </c>
      <c r="H19" s="85">
        <f t="shared" si="0"/>
        <v>6</v>
      </c>
      <c r="I19" s="2" t="s">
        <v>54</v>
      </c>
      <c r="J19" s="6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6.4" outlineLevel="1" x14ac:dyDescent="0.25">
      <c r="A20" s="6"/>
      <c r="B20" s="27" t="s">
        <v>55</v>
      </c>
      <c r="C20" s="10" t="s">
        <v>56</v>
      </c>
      <c r="D20" s="3" t="s">
        <v>14</v>
      </c>
      <c r="E20" s="4" t="s">
        <v>24</v>
      </c>
      <c r="F20" s="54">
        <v>46293</v>
      </c>
      <c r="G20" s="54">
        <v>46296</v>
      </c>
      <c r="H20" s="85">
        <f t="shared" si="0"/>
        <v>4</v>
      </c>
      <c r="I20" s="2" t="s">
        <v>57</v>
      </c>
      <c r="J20" s="6"/>
      <c r="K20" s="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4.9" customHeight="1" thickBot="1" x14ac:dyDescent="0.3">
      <c r="A21" s="6"/>
      <c r="B21" s="27" t="s">
        <v>58</v>
      </c>
      <c r="C21" s="10" t="s">
        <v>59</v>
      </c>
      <c r="D21" s="3" t="s">
        <v>14</v>
      </c>
      <c r="E21" s="4" t="s">
        <v>24</v>
      </c>
      <c r="F21" s="54">
        <v>46297</v>
      </c>
      <c r="G21" s="54">
        <v>46298</v>
      </c>
      <c r="H21" s="85">
        <f t="shared" si="0"/>
        <v>2</v>
      </c>
      <c r="I21" s="2" t="s">
        <v>60</v>
      </c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4.9" customHeight="1" outlineLevel="1" x14ac:dyDescent="0.25">
      <c r="A22" s="6"/>
      <c r="B22" s="37" t="s">
        <v>61</v>
      </c>
      <c r="C22" s="72" t="s">
        <v>62</v>
      </c>
      <c r="D22" s="38"/>
      <c r="E22" s="38"/>
      <c r="F22" s="59">
        <f>MIN(F23:F29)</f>
        <v>46300</v>
      </c>
      <c r="G22" s="60">
        <f>MAX(G23:G29)</f>
        <v>46321</v>
      </c>
      <c r="H22" s="86">
        <f t="shared" si="0"/>
        <v>22</v>
      </c>
      <c r="I22" s="39"/>
      <c r="J22" s="6"/>
      <c r="K22" s="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s="7" customFormat="1" ht="24.9" customHeight="1" outlineLevel="1" x14ac:dyDescent="0.25">
      <c r="A23" s="6"/>
      <c r="B23" s="27" t="s">
        <v>63</v>
      </c>
      <c r="C23" s="10" t="s">
        <v>64</v>
      </c>
      <c r="D23" s="3" t="s">
        <v>14</v>
      </c>
      <c r="E23" s="4" t="s">
        <v>24</v>
      </c>
      <c r="F23" s="54">
        <v>46300</v>
      </c>
      <c r="G23" s="54">
        <v>46310</v>
      </c>
      <c r="H23" s="87">
        <f t="shared" si="0"/>
        <v>11</v>
      </c>
      <c r="I23" s="2" t="s">
        <v>65</v>
      </c>
      <c r="J23" s="6"/>
      <c r="K23" s="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1:258" s="7" customFormat="1" ht="24.9" customHeight="1" outlineLevel="1" x14ac:dyDescent="0.25">
      <c r="A24" s="6"/>
      <c r="B24" s="27" t="s">
        <v>66</v>
      </c>
      <c r="C24" s="10" t="s">
        <v>67</v>
      </c>
      <c r="D24" s="3" t="s">
        <v>14</v>
      </c>
      <c r="E24" s="4" t="s">
        <v>24</v>
      </c>
      <c r="F24" s="54">
        <v>46301</v>
      </c>
      <c r="G24" s="54">
        <v>46305</v>
      </c>
      <c r="H24" s="87">
        <f t="shared" si="0"/>
        <v>5</v>
      </c>
      <c r="I24" s="2" t="s">
        <v>68</v>
      </c>
      <c r="J24" s="6"/>
      <c r="K24" s="1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</row>
    <row r="25" spans="1:258" s="7" customFormat="1" ht="26.4" outlineLevel="1" x14ac:dyDescent="0.25">
      <c r="A25" s="6"/>
      <c r="B25" s="27" t="s">
        <v>69</v>
      </c>
      <c r="C25" s="10" t="s">
        <v>70</v>
      </c>
      <c r="D25" s="3" t="s">
        <v>14</v>
      </c>
      <c r="E25" s="4" t="s">
        <v>24</v>
      </c>
      <c r="F25" s="54">
        <v>46307</v>
      </c>
      <c r="G25" s="54">
        <v>46309</v>
      </c>
      <c r="H25" s="87">
        <f t="shared" si="0"/>
        <v>3</v>
      </c>
      <c r="I25" s="2" t="s">
        <v>71</v>
      </c>
      <c r="J25" s="6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</row>
    <row r="26" spans="1:258" s="7" customFormat="1" ht="24.9" customHeight="1" outlineLevel="1" x14ac:dyDescent="0.25">
      <c r="A26" s="6"/>
      <c r="B26" s="27" t="s">
        <v>72</v>
      </c>
      <c r="C26" s="10" t="s">
        <v>73</v>
      </c>
      <c r="D26" s="3" t="s">
        <v>14</v>
      </c>
      <c r="E26" s="4" t="s">
        <v>24</v>
      </c>
      <c r="F26" s="54">
        <v>46310</v>
      </c>
      <c r="G26" s="54">
        <v>46313</v>
      </c>
      <c r="H26" s="87">
        <f t="shared" si="0"/>
        <v>4</v>
      </c>
      <c r="I26" s="2" t="s">
        <v>74</v>
      </c>
      <c r="J26" s="6"/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</row>
    <row r="27" spans="1:258" s="7" customFormat="1" ht="24.9" customHeight="1" outlineLevel="1" x14ac:dyDescent="0.25">
      <c r="A27" s="6"/>
      <c r="B27" s="27" t="s">
        <v>75</v>
      </c>
      <c r="C27" s="10" t="s">
        <v>76</v>
      </c>
      <c r="D27" s="3" t="s">
        <v>14</v>
      </c>
      <c r="E27" s="4" t="s">
        <v>24</v>
      </c>
      <c r="F27" s="54">
        <v>46314</v>
      </c>
      <c r="G27" s="54">
        <v>46315</v>
      </c>
      <c r="H27" s="87">
        <f t="shared" si="0"/>
        <v>2</v>
      </c>
      <c r="I27" s="2" t="s">
        <v>77</v>
      </c>
      <c r="J27" s="6"/>
      <c r="K27" s="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</row>
    <row r="28" spans="1:258" s="7" customFormat="1" ht="24.9" customHeight="1" x14ac:dyDescent="0.25">
      <c r="A28" s="6"/>
      <c r="B28" s="27" t="s">
        <v>78</v>
      </c>
      <c r="C28" s="10" t="s">
        <v>79</v>
      </c>
      <c r="D28" s="3" t="s">
        <v>14</v>
      </c>
      <c r="E28" s="4" t="s">
        <v>24</v>
      </c>
      <c r="F28" s="54">
        <v>46316</v>
      </c>
      <c r="G28" s="54">
        <v>46318</v>
      </c>
      <c r="H28" s="87">
        <f t="shared" si="0"/>
        <v>3</v>
      </c>
      <c r="I28" s="2" t="s">
        <v>80</v>
      </c>
      <c r="J28" s="6"/>
      <c r="K28" s="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</row>
    <row r="29" spans="1:258" s="7" customFormat="1" ht="24.9" customHeight="1" outlineLevel="1" thickBot="1" x14ac:dyDescent="0.3">
      <c r="A29" s="6"/>
      <c r="B29" s="27" t="s">
        <v>81</v>
      </c>
      <c r="C29" s="10" t="s">
        <v>82</v>
      </c>
      <c r="D29" s="3" t="s">
        <v>14</v>
      </c>
      <c r="E29" s="4" t="s">
        <v>24</v>
      </c>
      <c r="F29" s="54">
        <v>46319</v>
      </c>
      <c r="G29" s="54">
        <v>46321</v>
      </c>
      <c r="H29" s="87">
        <f t="shared" si="0"/>
        <v>3</v>
      </c>
      <c r="I29" s="2" t="s">
        <v>83</v>
      </c>
      <c r="J29" s="6"/>
      <c r="K29" s="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</row>
    <row r="30" spans="1:258" s="7" customFormat="1" ht="24.9" customHeight="1" outlineLevel="1" x14ac:dyDescent="0.25">
      <c r="A30" s="6"/>
      <c r="B30" s="40" t="s">
        <v>84</v>
      </c>
      <c r="C30" s="73" t="s">
        <v>85</v>
      </c>
      <c r="D30" s="41"/>
      <c r="E30" s="41"/>
      <c r="F30" s="61">
        <f>MIN(F31:F37)</f>
        <v>46322</v>
      </c>
      <c r="G30" s="62">
        <f>MAX(G31:G37)</f>
        <v>46337</v>
      </c>
      <c r="H30" s="88">
        <f t="shared" si="0"/>
        <v>16</v>
      </c>
      <c r="I30" s="42"/>
      <c r="J30" s="6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</row>
    <row r="31" spans="1:258" s="7" customFormat="1" ht="26.4" outlineLevel="1" x14ac:dyDescent="0.25">
      <c r="A31" s="6"/>
      <c r="B31" s="27" t="s">
        <v>86</v>
      </c>
      <c r="C31" s="10" t="s">
        <v>87</v>
      </c>
      <c r="D31" s="3" t="s">
        <v>14</v>
      </c>
      <c r="E31" s="4" t="s">
        <v>24</v>
      </c>
      <c r="F31" s="54">
        <v>46322</v>
      </c>
      <c r="G31" s="54">
        <v>46324</v>
      </c>
      <c r="H31" s="89">
        <f t="shared" si="0"/>
        <v>3</v>
      </c>
      <c r="I31" s="2" t="s">
        <v>88</v>
      </c>
      <c r="J31" s="6"/>
      <c r="K31" s="1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</row>
    <row r="32" spans="1:258" s="7" customFormat="1" ht="24.9" customHeight="1" outlineLevel="1" x14ac:dyDescent="0.25">
      <c r="A32" s="6"/>
      <c r="B32" s="27" t="s">
        <v>89</v>
      </c>
      <c r="C32" s="10" t="s">
        <v>90</v>
      </c>
      <c r="D32" s="3" t="s">
        <v>14</v>
      </c>
      <c r="E32" s="4" t="s">
        <v>24</v>
      </c>
      <c r="F32" s="54">
        <v>46325</v>
      </c>
      <c r="G32" s="54">
        <v>46327</v>
      </c>
      <c r="H32" s="89">
        <f t="shared" si="0"/>
        <v>3</v>
      </c>
      <c r="I32" s="2" t="s">
        <v>91</v>
      </c>
      <c r="J32" s="6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</row>
    <row r="33" spans="1:258" s="7" customFormat="1" ht="24.9" customHeight="1" outlineLevel="1" x14ac:dyDescent="0.25">
      <c r="A33" s="6"/>
      <c r="B33" s="27" t="s">
        <v>92</v>
      </c>
      <c r="C33" s="10" t="s">
        <v>93</v>
      </c>
      <c r="D33" s="3" t="s">
        <v>14</v>
      </c>
      <c r="E33" s="4" t="s">
        <v>24</v>
      </c>
      <c r="F33" s="54">
        <v>46328</v>
      </c>
      <c r="G33" s="54">
        <v>46329</v>
      </c>
      <c r="H33" s="89">
        <f t="shared" si="0"/>
        <v>2</v>
      </c>
      <c r="I33" s="2" t="s">
        <v>94</v>
      </c>
      <c r="J33" s="6"/>
      <c r="K33" s="1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</row>
    <row r="34" spans="1:258" s="7" customFormat="1" ht="24.9" customHeight="1" outlineLevel="1" x14ac:dyDescent="0.25">
      <c r="A34" s="6"/>
      <c r="B34" s="27" t="s">
        <v>95</v>
      </c>
      <c r="C34" s="10" t="s">
        <v>96</v>
      </c>
      <c r="D34" s="3" t="s">
        <v>14</v>
      </c>
      <c r="E34" s="4" t="s">
        <v>24</v>
      </c>
      <c r="F34" s="54">
        <v>46330</v>
      </c>
      <c r="G34" s="54">
        <v>46332</v>
      </c>
      <c r="H34" s="89">
        <f t="shared" si="0"/>
        <v>3</v>
      </c>
      <c r="I34" s="2" t="s">
        <v>97</v>
      </c>
      <c r="J34" s="6"/>
      <c r="K34" s="1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</row>
    <row r="35" spans="1:258" s="7" customFormat="1" ht="26.4" outlineLevel="1" x14ac:dyDescent="0.25">
      <c r="A35" s="6"/>
      <c r="B35" s="27" t="s">
        <v>98</v>
      </c>
      <c r="C35" s="10" t="s">
        <v>99</v>
      </c>
      <c r="D35" s="3" t="s">
        <v>14</v>
      </c>
      <c r="E35" s="4" t="s">
        <v>24</v>
      </c>
      <c r="F35" s="54">
        <v>46333</v>
      </c>
      <c r="G35" s="54">
        <v>46334</v>
      </c>
      <c r="H35" s="89">
        <f t="shared" si="0"/>
        <v>2</v>
      </c>
      <c r="I35" s="2" t="s">
        <v>100</v>
      </c>
      <c r="J35" s="6"/>
      <c r="K35" s="1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</row>
    <row r="36" spans="1:258" s="7" customFormat="1" ht="24.9" customHeight="1" outlineLevel="1" x14ac:dyDescent="0.25">
      <c r="A36" s="6"/>
      <c r="B36" s="27" t="s">
        <v>101</v>
      </c>
      <c r="C36" s="10" t="s">
        <v>102</v>
      </c>
      <c r="D36" s="3" t="s">
        <v>14</v>
      </c>
      <c r="E36" s="4" t="s">
        <v>24</v>
      </c>
      <c r="F36" s="54">
        <v>46335</v>
      </c>
      <c r="G36" s="54">
        <v>46336</v>
      </c>
      <c r="H36" s="89">
        <f t="shared" si="0"/>
        <v>2</v>
      </c>
      <c r="I36" s="2" t="s">
        <v>103</v>
      </c>
      <c r="J36" s="6"/>
      <c r="K36" s="1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</row>
    <row r="37" spans="1:258" s="7" customFormat="1" ht="24.9" customHeight="1" outlineLevel="1" thickBot="1" x14ac:dyDescent="0.3">
      <c r="A37" s="6"/>
      <c r="B37" s="27" t="s">
        <v>104</v>
      </c>
      <c r="C37" s="10" t="s">
        <v>105</v>
      </c>
      <c r="D37" s="3" t="s">
        <v>14</v>
      </c>
      <c r="E37" s="4" t="s">
        <v>24</v>
      </c>
      <c r="F37" s="54">
        <v>46337</v>
      </c>
      <c r="G37" s="54">
        <v>46337</v>
      </c>
      <c r="H37" s="89">
        <f t="shared" si="0"/>
        <v>1</v>
      </c>
      <c r="I37" s="2" t="s">
        <v>106</v>
      </c>
      <c r="J37" s="6"/>
      <c r="K37" s="1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</row>
    <row r="38" spans="1:258" s="7" customFormat="1" ht="24.9" customHeight="1" outlineLevel="1" x14ac:dyDescent="0.25">
      <c r="A38" s="6"/>
      <c r="B38" s="43" t="s">
        <v>107</v>
      </c>
      <c r="C38" s="74" t="s">
        <v>108</v>
      </c>
      <c r="D38" s="44"/>
      <c r="E38" s="44"/>
      <c r="F38" s="63">
        <f>MIN(F39:F46)</f>
        <v>46335</v>
      </c>
      <c r="G38" s="64">
        <f>MAX(G39:G46)</f>
        <v>46348</v>
      </c>
      <c r="H38" s="90">
        <f t="shared" si="0"/>
        <v>14</v>
      </c>
      <c r="I38" s="45"/>
      <c r="J38" s="6"/>
      <c r="K38" s="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</row>
    <row r="39" spans="1:258" s="7" customFormat="1" ht="24.9" customHeight="1" outlineLevel="1" x14ac:dyDescent="0.25">
      <c r="A39" s="6"/>
      <c r="B39" s="27" t="s">
        <v>109</v>
      </c>
      <c r="C39" s="10" t="s">
        <v>110</v>
      </c>
      <c r="D39" s="3" t="s">
        <v>14</v>
      </c>
      <c r="E39" s="4" t="s">
        <v>24</v>
      </c>
      <c r="F39" s="54">
        <v>46335</v>
      </c>
      <c r="G39" s="54">
        <v>46337</v>
      </c>
      <c r="H39" s="91">
        <f t="shared" si="0"/>
        <v>3</v>
      </c>
      <c r="I39" s="2" t="s">
        <v>111</v>
      </c>
      <c r="J39" s="6"/>
      <c r="K39" s="1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</row>
    <row r="40" spans="1:258" s="7" customFormat="1" ht="26.4" outlineLevel="1" x14ac:dyDescent="0.25">
      <c r="A40" s="6"/>
      <c r="B40" s="27" t="s">
        <v>112</v>
      </c>
      <c r="C40" s="10" t="s">
        <v>113</v>
      </c>
      <c r="D40" s="3" t="s">
        <v>14</v>
      </c>
      <c r="E40" s="4" t="s">
        <v>24</v>
      </c>
      <c r="F40" s="54">
        <v>46338</v>
      </c>
      <c r="G40" s="54">
        <v>46339</v>
      </c>
      <c r="H40" s="91">
        <f t="shared" si="0"/>
        <v>2</v>
      </c>
      <c r="I40" s="2" t="s">
        <v>114</v>
      </c>
      <c r="J40" s="6"/>
      <c r="K40" s="1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</row>
    <row r="41" spans="1:258" s="7" customFormat="1" ht="24.9" customHeight="1" outlineLevel="1" x14ac:dyDescent="0.25">
      <c r="A41" s="6"/>
      <c r="B41" s="27" t="s">
        <v>115</v>
      </c>
      <c r="C41" s="10" t="s">
        <v>116</v>
      </c>
      <c r="D41" s="3" t="s">
        <v>14</v>
      </c>
      <c r="E41" s="4" t="s">
        <v>24</v>
      </c>
      <c r="F41" s="54">
        <v>46340</v>
      </c>
      <c r="G41" s="54">
        <v>46341</v>
      </c>
      <c r="H41" s="91">
        <f t="shared" si="0"/>
        <v>2</v>
      </c>
      <c r="I41" s="2" t="s">
        <v>117</v>
      </c>
      <c r="J41" s="6"/>
      <c r="K41" s="1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</row>
    <row r="42" spans="1:258" s="7" customFormat="1" ht="24.9" customHeight="1" outlineLevel="1" x14ac:dyDescent="0.25">
      <c r="A42" s="6"/>
      <c r="B42" s="27" t="s">
        <v>118</v>
      </c>
      <c r="C42" s="10" t="s">
        <v>119</v>
      </c>
      <c r="D42" s="3" t="s">
        <v>14</v>
      </c>
      <c r="E42" s="4" t="s">
        <v>24</v>
      </c>
      <c r="F42" s="54">
        <v>46342</v>
      </c>
      <c r="G42" s="54">
        <v>46343</v>
      </c>
      <c r="H42" s="91">
        <f t="shared" si="0"/>
        <v>2</v>
      </c>
      <c r="I42" s="2" t="s">
        <v>120</v>
      </c>
      <c r="J42" s="6"/>
      <c r="K42" s="1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</row>
    <row r="43" spans="1:258" s="7" customFormat="1" ht="24.9" customHeight="1" outlineLevel="1" x14ac:dyDescent="0.25">
      <c r="A43" s="6"/>
      <c r="B43" s="27" t="s">
        <v>121</v>
      </c>
      <c r="C43" s="10" t="s">
        <v>122</v>
      </c>
      <c r="D43" s="3" t="s">
        <v>14</v>
      </c>
      <c r="E43" s="4" t="s">
        <v>24</v>
      </c>
      <c r="F43" s="54">
        <v>46344</v>
      </c>
      <c r="G43" s="54">
        <v>46344</v>
      </c>
      <c r="H43" s="91">
        <f t="shared" si="0"/>
        <v>1</v>
      </c>
      <c r="I43" s="2" t="s">
        <v>123</v>
      </c>
      <c r="J43" s="6"/>
      <c r="K43" s="1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</row>
    <row r="44" spans="1:258" s="7" customFormat="1" ht="24.9" customHeight="1" outlineLevel="1" x14ac:dyDescent="0.25">
      <c r="A44" s="6"/>
      <c r="B44" s="27" t="s">
        <v>124</v>
      </c>
      <c r="C44" s="10" t="s">
        <v>125</v>
      </c>
      <c r="D44" s="3" t="s">
        <v>14</v>
      </c>
      <c r="E44" s="4" t="s">
        <v>24</v>
      </c>
      <c r="F44" s="54">
        <v>46345</v>
      </c>
      <c r="G44" s="54">
        <v>46346</v>
      </c>
      <c r="H44" s="91">
        <f t="shared" si="0"/>
        <v>2</v>
      </c>
      <c r="I44" s="2" t="s">
        <v>126</v>
      </c>
      <c r="J44" s="6"/>
      <c r="K44" s="1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</row>
    <row r="45" spans="1:258" s="7" customFormat="1" ht="24.9" customHeight="1" outlineLevel="1" x14ac:dyDescent="0.25">
      <c r="A45" s="6"/>
      <c r="B45" s="27" t="s">
        <v>127</v>
      </c>
      <c r="C45" s="10" t="s">
        <v>128</v>
      </c>
      <c r="D45" s="3" t="s">
        <v>16</v>
      </c>
      <c r="E45" s="4" t="s">
        <v>24</v>
      </c>
      <c r="F45" s="54">
        <v>46347</v>
      </c>
      <c r="G45" s="54">
        <v>46347</v>
      </c>
      <c r="H45" s="91">
        <f t="shared" si="0"/>
        <v>1</v>
      </c>
      <c r="I45" s="2" t="s">
        <v>129</v>
      </c>
      <c r="J45" s="6"/>
      <c r="K45" s="1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</row>
    <row r="46" spans="1:258" s="7" customFormat="1" ht="24.9" customHeight="1" outlineLevel="1" thickBot="1" x14ac:dyDescent="0.3">
      <c r="A46" s="6"/>
      <c r="B46" s="27" t="s">
        <v>130</v>
      </c>
      <c r="C46" s="10" t="s">
        <v>131</v>
      </c>
      <c r="D46" s="3" t="s">
        <v>16</v>
      </c>
      <c r="E46" s="4" t="s">
        <v>24</v>
      </c>
      <c r="F46" s="54">
        <v>46348</v>
      </c>
      <c r="G46" s="54">
        <v>46348</v>
      </c>
      <c r="H46" s="91">
        <f t="shared" si="0"/>
        <v>1</v>
      </c>
      <c r="I46" s="2" t="s">
        <v>132</v>
      </c>
      <c r="J46" s="6"/>
      <c r="K46" s="1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</row>
    <row r="47" spans="1:258" s="7" customFormat="1" ht="24.9" customHeight="1" outlineLevel="1" x14ac:dyDescent="0.25">
      <c r="A47" s="6"/>
      <c r="B47" s="46" t="s">
        <v>133</v>
      </c>
      <c r="C47" s="75" t="s">
        <v>134</v>
      </c>
      <c r="D47" s="47"/>
      <c r="E47" s="47"/>
      <c r="F47" s="65">
        <f>MIN(F48:F49)</f>
        <v>46237</v>
      </c>
      <c r="G47" s="66">
        <f>MAX(G48:G49)</f>
        <v>46348</v>
      </c>
      <c r="H47" s="92">
        <f t="shared" si="0"/>
        <v>112</v>
      </c>
      <c r="I47" s="48"/>
      <c r="J47" s="6"/>
      <c r="K47" s="1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</row>
    <row r="48" spans="1:258" s="7" customFormat="1" ht="24.9" customHeight="1" outlineLevel="1" x14ac:dyDescent="0.25">
      <c r="A48" s="6"/>
      <c r="B48" s="27" t="s">
        <v>135</v>
      </c>
      <c r="C48" s="10" t="s">
        <v>136</v>
      </c>
      <c r="D48" s="3" t="s">
        <v>14</v>
      </c>
      <c r="E48" s="4" t="s">
        <v>24</v>
      </c>
      <c r="F48" s="54">
        <v>46237</v>
      </c>
      <c r="G48" s="54">
        <v>46348</v>
      </c>
      <c r="H48" s="93">
        <f t="shared" si="0"/>
        <v>112</v>
      </c>
      <c r="I48" s="2" t="s">
        <v>137</v>
      </c>
      <c r="J48" s="6"/>
      <c r="K48" s="1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</row>
    <row r="49" spans="1:258" s="7" customFormat="1" ht="28.2" outlineLevel="1" thickBot="1" x14ac:dyDescent="0.3">
      <c r="A49" s="6"/>
      <c r="B49" s="27" t="s">
        <v>138</v>
      </c>
      <c r="C49" s="10" t="s">
        <v>139</v>
      </c>
      <c r="D49" s="3" t="s">
        <v>14</v>
      </c>
      <c r="E49" s="4" t="s">
        <v>45</v>
      </c>
      <c r="F49" s="54">
        <v>46288</v>
      </c>
      <c r="G49" s="54">
        <v>46291</v>
      </c>
      <c r="H49" s="93">
        <f t="shared" si="0"/>
        <v>4</v>
      </c>
      <c r="I49" s="2" t="s">
        <v>140</v>
      </c>
      <c r="J49" s="6"/>
      <c r="K49" s="1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</row>
    <row r="50" spans="1:258" s="7" customFormat="1" ht="24.9" customHeight="1" outlineLevel="1" x14ac:dyDescent="0.25">
      <c r="A50" s="6"/>
      <c r="B50" s="49" t="s">
        <v>141</v>
      </c>
      <c r="C50" s="76" t="s">
        <v>142</v>
      </c>
      <c r="D50" s="50"/>
      <c r="E50" s="50"/>
      <c r="F50" s="67">
        <f>MIN(F51:F54)</f>
        <v>46342</v>
      </c>
      <c r="G50" s="68">
        <f>MAX(G51:G54)</f>
        <v>46348</v>
      </c>
      <c r="H50" s="94">
        <f t="shared" si="0"/>
        <v>7</v>
      </c>
      <c r="I50" s="51"/>
      <c r="J50" s="6"/>
      <c r="K50" s="1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</row>
    <row r="51" spans="1:258" s="7" customFormat="1" ht="27.6" outlineLevel="1" x14ac:dyDescent="0.25">
      <c r="A51" s="6"/>
      <c r="B51" s="27" t="s">
        <v>143</v>
      </c>
      <c r="C51" s="10" t="s">
        <v>144</v>
      </c>
      <c r="D51" s="3" t="s">
        <v>16</v>
      </c>
      <c r="E51" s="4" t="s">
        <v>24</v>
      </c>
      <c r="F51" s="54">
        <v>46342</v>
      </c>
      <c r="G51" s="54">
        <v>46345</v>
      </c>
      <c r="H51" s="95">
        <f t="shared" si="0"/>
        <v>4</v>
      </c>
      <c r="I51" s="2"/>
      <c r="J51" s="6"/>
      <c r="K51" s="1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</row>
    <row r="52" spans="1:258" s="7" customFormat="1" ht="24.9" customHeight="1" outlineLevel="1" x14ac:dyDescent="0.25">
      <c r="A52" s="6"/>
      <c r="B52" s="27" t="s">
        <v>145</v>
      </c>
      <c r="C52" s="10" t="s">
        <v>146</v>
      </c>
      <c r="D52" s="3" t="s">
        <v>16</v>
      </c>
      <c r="E52" s="4" t="s">
        <v>24</v>
      </c>
      <c r="F52" s="54">
        <v>46344</v>
      </c>
      <c r="G52" s="54">
        <v>46347</v>
      </c>
      <c r="H52" s="95">
        <f t="shared" si="0"/>
        <v>4</v>
      </c>
      <c r="I52" s="2"/>
      <c r="J52" s="6"/>
      <c r="K52" s="1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</row>
    <row r="53" spans="1:258" s="7" customFormat="1" ht="26.4" outlineLevel="1" x14ac:dyDescent="0.25">
      <c r="A53" s="6"/>
      <c r="B53" s="27" t="s">
        <v>147</v>
      </c>
      <c r="C53" s="10" t="s">
        <v>148</v>
      </c>
      <c r="D53" s="3" t="s">
        <v>16</v>
      </c>
      <c r="E53" s="4" t="s">
        <v>45</v>
      </c>
      <c r="F53" s="54">
        <v>46346</v>
      </c>
      <c r="G53" s="54">
        <v>46348</v>
      </c>
      <c r="H53" s="95">
        <f t="shared" si="0"/>
        <v>3</v>
      </c>
      <c r="I53" s="2"/>
      <c r="J53" s="6"/>
      <c r="K53" s="1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</row>
    <row r="54" spans="1:258" s="7" customFormat="1" ht="26.4" outlineLevel="1" x14ac:dyDescent="0.25">
      <c r="A54" s="6"/>
      <c r="B54" s="27" t="s">
        <v>149</v>
      </c>
      <c r="C54" s="10" t="s">
        <v>150</v>
      </c>
      <c r="D54" s="3" t="s">
        <v>16</v>
      </c>
      <c r="E54" s="4" t="s">
        <v>45</v>
      </c>
      <c r="F54" s="54">
        <v>46348</v>
      </c>
      <c r="G54" s="54">
        <v>46348</v>
      </c>
      <c r="H54" s="95">
        <f t="shared" si="0"/>
        <v>1</v>
      </c>
      <c r="I54" s="2" t="s">
        <v>151</v>
      </c>
      <c r="J54" s="6"/>
      <c r="K54" s="1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</row>
    <row r="55" spans="1:258" ht="15" customHeight="1" x14ac:dyDescent="0.25">
      <c r="A55" s="1"/>
      <c r="B55" s="1"/>
      <c r="C55" s="1"/>
      <c r="D55" s="1"/>
      <c r="E55" s="1"/>
      <c r="F55" s="1"/>
      <c r="G55" s="1"/>
      <c r="H55" s="7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300" customHeight="1" x14ac:dyDescent="0.25">
      <c r="A56" s="1"/>
      <c r="B56" s="1"/>
      <c r="C56" s="1"/>
      <c r="D56" s="1"/>
      <c r="E56" s="1"/>
      <c r="F56" s="1"/>
      <c r="G56" s="1"/>
      <c r="H56" s="7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7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7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7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7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7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7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7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7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7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7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7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7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7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7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7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7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7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7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7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7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7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7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7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7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7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7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7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7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7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7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7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7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7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7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7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7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7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7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7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7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7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7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7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7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7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7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7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7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7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7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7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7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7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7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7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7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7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7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7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7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7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7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7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7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7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7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7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7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7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7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7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7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7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7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7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7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7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7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7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7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7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7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7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7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7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7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7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7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7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7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7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7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7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7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7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7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7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7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7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7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7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7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7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7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7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7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7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7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7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7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7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7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7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7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7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7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7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7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7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7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7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7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7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7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7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7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7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7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7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7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7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7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7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7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7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7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7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7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7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7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7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7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7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7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7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7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7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7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7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7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7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7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7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7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7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7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7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7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7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7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7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7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7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7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7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7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7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7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7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7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7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7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7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7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7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7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7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7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7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7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7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7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7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7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7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7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7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7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7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7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7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7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7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7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7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7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7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7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7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7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7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7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7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7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7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7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7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7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7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7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7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7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7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7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7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7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7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7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7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7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7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7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7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7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7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7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7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7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7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7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7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7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7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7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7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7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7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7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7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7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7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7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7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7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7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7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7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7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7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7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7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7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7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7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7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7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7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7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7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7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7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7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7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7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7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7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7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7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7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7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7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7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7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7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7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7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7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7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7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7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7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7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7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7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7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7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7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7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7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7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7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7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7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7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7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7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7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7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7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7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7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7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7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7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7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7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7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7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7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7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7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7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7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7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7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7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7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7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7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7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7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7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7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7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7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7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7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7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58" x14ac:dyDescent="0.25">
      <c r="A385" s="1"/>
      <c r="B385" s="1"/>
      <c r="C385" s="1"/>
      <c r="D385" s="1"/>
      <c r="E385" s="1"/>
      <c r="F385" s="1"/>
      <c r="G385" s="1"/>
      <c r="H385" s="7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58" x14ac:dyDescent="0.25">
      <c r="A386" s="1"/>
      <c r="B386" s="1"/>
      <c r="C386" s="1"/>
      <c r="D386" s="1"/>
      <c r="E386" s="1"/>
      <c r="F386" s="1"/>
      <c r="G386" s="1"/>
      <c r="H386" s="7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58" x14ac:dyDescent="0.25">
      <c r="A387" s="1"/>
      <c r="B387" s="1"/>
      <c r="C387" s="1"/>
      <c r="D387" s="1"/>
      <c r="E387" s="1"/>
      <c r="F387" s="1"/>
      <c r="G387" s="1"/>
      <c r="H387" s="7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58" x14ac:dyDescent="0.25">
      <c r="A388" s="1"/>
      <c r="B388" s="1"/>
      <c r="C388" s="1"/>
      <c r="D388" s="1"/>
      <c r="E388" s="1"/>
      <c r="F388" s="1"/>
      <c r="G388" s="1"/>
      <c r="H388" s="7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58" x14ac:dyDescent="0.25">
      <c r="A389" s="1"/>
      <c r="B389" s="1"/>
      <c r="C389" s="1"/>
      <c r="D389" s="1"/>
      <c r="E389" s="1"/>
      <c r="F389" s="1"/>
      <c r="G389" s="1"/>
      <c r="H389" s="7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58" x14ac:dyDescent="0.25">
      <c r="A390" s="1"/>
      <c r="B390" s="1"/>
      <c r="C390" s="1"/>
      <c r="D390" s="1"/>
      <c r="E390" s="1"/>
      <c r="F390" s="1"/>
      <c r="G390" s="1"/>
      <c r="H390" s="7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58" x14ac:dyDescent="0.25">
      <c r="A391" s="1"/>
      <c r="B391" s="1"/>
      <c r="C391" s="1"/>
      <c r="D391" s="1"/>
      <c r="E391" s="1"/>
      <c r="F391" s="1"/>
      <c r="G391" s="1"/>
      <c r="H391" s="7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58" x14ac:dyDescent="0.25">
      <c r="A392" s="1"/>
      <c r="B392" s="1"/>
      <c r="C392" s="1"/>
      <c r="D392" s="1"/>
      <c r="E392" s="1"/>
      <c r="F392" s="1"/>
      <c r="G392" s="1"/>
      <c r="H392" s="7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58" x14ac:dyDescent="0.25">
      <c r="A393" s="1"/>
      <c r="B393" s="1"/>
      <c r="C393" s="1"/>
      <c r="D393" s="1"/>
      <c r="E393" s="1"/>
      <c r="F393" s="1"/>
      <c r="G393" s="1"/>
      <c r="H393" s="7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58" x14ac:dyDescent="0.25">
      <c r="A394" s="1"/>
      <c r="B394" s="1"/>
      <c r="C394" s="1"/>
      <c r="D394" s="1"/>
      <c r="E394" s="1"/>
      <c r="F394" s="1"/>
      <c r="G394" s="1"/>
      <c r="H394" s="7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58" x14ac:dyDescent="0.25">
      <c r="A395" s="1"/>
      <c r="B395" s="1"/>
      <c r="C395" s="1"/>
      <c r="D395" s="1"/>
      <c r="E395" s="1"/>
      <c r="F395" s="1"/>
      <c r="G395" s="1"/>
      <c r="H395" s="7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</row>
    <row r="396" spans="1:258" x14ac:dyDescent="0.25">
      <c r="A396" s="1"/>
      <c r="B396" s="1"/>
      <c r="C396" s="1"/>
      <c r="D396" s="1"/>
      <c r="E396" s="1"/>
      <c r="F396" s="1"/>
      <c r="G396" s="1"/>
      <c r="H396" s="7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</row>
    <row r="397" spans="1:258" x14ac:dyDescent="0.25">
      <c r="A397" s="1"/>
      <c r="B397" s="1"/>
      <c r="C397" s="1"/>
      <c r="D397" s="1"/>
      <c r="E397" s="1"/>
      <c r="F397" s="1"/>
      <c r="G397" s="1"/>
      <c r="H397" s="7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</row>
    <row r="398" spans="1:258" x14ac:dyDescent="0.25">
      <c r="A398" s="1"/>
      <c r="B398" s="1"/>
      <c r="C398" s="1"/>
      <c r="D398" s="1"/>
      <c r="E398" s="1"/>
      <c r="F398" s="1"/>
      <c r="G398" s="1"/>
      <c r="H398" s="7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</row>
    <row r="399" spans="1:258" x14ac:dyDescent="0.25">
      <c r="A399" s="1"/>
      <c r="B399" s="1"/>
      <c r="C399" s="1"/>
      <c r="D399" s="1"/>
      <c r="E399" s="1"/>
      <c r="F399" s="1"/>
      <c r="G399" s="1"/>
      <c r="H399" s="7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</row>
    <row r="400" spans="1:258" x14ac:dyDescent="0.25">
      <c r="A400" s="1"/>
      <c r="B400" s="1"/>
      <c r="C400" s="1"/>
      <c r="D400" s="1"/>
      <c r="E400" s="1"/>
      <c r="F400" s="1"/>
      <c r="G400" s="1"/>
      <c r="H400" s="7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7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7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7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7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7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7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7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7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7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7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7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7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7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7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7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7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7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7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7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7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7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7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7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7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7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7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7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7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7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7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7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7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7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7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7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7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7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7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7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7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7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7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7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7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7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7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7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7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7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7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7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7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7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7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7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7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7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7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7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7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7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7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7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7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7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7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7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7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7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7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7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7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7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7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7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7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7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7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7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7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7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7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7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7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7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7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7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7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7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7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7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7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7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7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7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7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7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7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7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7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7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7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7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7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7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7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7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7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7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7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7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7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7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7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7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7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7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7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7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7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7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7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7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7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7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7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7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7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7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7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7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7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7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7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7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7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7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7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7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7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7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7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7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7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7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7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7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7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7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7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7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7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7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7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7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7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7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7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7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7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7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7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7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7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7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7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7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7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7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7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7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7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7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7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7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7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7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7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7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7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7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7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7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7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7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7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7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7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7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7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7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7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7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7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7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7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7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7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7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7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7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7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7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7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7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7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7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7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7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7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7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7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7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7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7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7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7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7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7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7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7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7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7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7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7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7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7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7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7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7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7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7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7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7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7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7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7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7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7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7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7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7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7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7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7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7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7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7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7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7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7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7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7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7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7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7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7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7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7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7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7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7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7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7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7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7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7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7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7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7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7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7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7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7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7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7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7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7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7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7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7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7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7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7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7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7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7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7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7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7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7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7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7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7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7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7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7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7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7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7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7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7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7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7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7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7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7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7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7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7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7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7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7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7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7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7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7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7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7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7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7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7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7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7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7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7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7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7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7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7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7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7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7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7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7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7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7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7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7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7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7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7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7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7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7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7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7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7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7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7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7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7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7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7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7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7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7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7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7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7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7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7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7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7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7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7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7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7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7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7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7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7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7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7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7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7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7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7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7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7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7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7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7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7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7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7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7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7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7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7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7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7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7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7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7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7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7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7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7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7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7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7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7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7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7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7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7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7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7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7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7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7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7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7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7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7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7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7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7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7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7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7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7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7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7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7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7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7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7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7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7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7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7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7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7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7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7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7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7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7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7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7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7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7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7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7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7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7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7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7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7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7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7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7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7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7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7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7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7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7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7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7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7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7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7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7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7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7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7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7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7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7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7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7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7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7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7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7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7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7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7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7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7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7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7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7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7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7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7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7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7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7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7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7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7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7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7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7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7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7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7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7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7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7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7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7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7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7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7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7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7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7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7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7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7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7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7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7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7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7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7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7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7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7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7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7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7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7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7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7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7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7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7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7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7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7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7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7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7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7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7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7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7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7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7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7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7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7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7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7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7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7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7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7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7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7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7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7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7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7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7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7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7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7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7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7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7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7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7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7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7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7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7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7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7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7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7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7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7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7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7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7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7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7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7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7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7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7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7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7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7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7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7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7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7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7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7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7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7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7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77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77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77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77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77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77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77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77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77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77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77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77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77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77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77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77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77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77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77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77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77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77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77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77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77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77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77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77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77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77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77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77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77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77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77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77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77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77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77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77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77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77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77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77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77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77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77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77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77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77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77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77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77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77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77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77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77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77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77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77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77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77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77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77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77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77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77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77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77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77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77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77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77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77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77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77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77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77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A1079" s="1"/>
      <c r="B1079" s="1"/>
      <c r="C1079" s="1"/>
      <c r="D1079" s="1"/>
      <c r="E1079" s="1"/>
      <c r="F1079" s="1"/>
      <c r="G1079" s="1"/>
      <c r="H1079" s="77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x14ac:dyDescent="0.25">
      <c r="A1080" s="1"/>
      <c r="B1080" s="1"/>
      <c r="C1080" s="1"/>
      <c r="D1080" s="1"/>
      <c r="E1080" s="1"/>
      <c r="F1080" s="1"/>
      <c r="G1080" s="1"/>
      <c r="H1080" s="77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x14ac:dyDescent="0.25">
      <c r="A1081" s="1"/>
      <c r="B1081" s="1"/>
      <c r="C1081" s="1"/>
      <c r="D1081" s="1"/>
      <c r="E1081" s="1"/>
      <c r="F1081" s="1"/>
      <c r="G1081" s="1"/>
      <c r="H1081" s="77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x14ac:dyDescent="0.25">
      <c r="A1082" s="1"/>
      <c r="B1082" s="1"/>
      <c r="C1082" s="1"/>
      <c r="D1082" s="1"/>
      <c r="E1082" s="1"/>
      <c r="F1082" s="1"/>
      <c r="G1082" s="1"/>
      <c r="H1082" s="77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x14ac:dyDescent="0.25">
      <c r="A1083" s="1"/>
      <c r="B1083" s="1"/>
      <c r="C1083" s="1"/>
      <c r="D1083" s="1"/>
      <c r="E1083" s="1"/>
      <c r="F1083" s="1"/>
      <c r="G1083" s="1"/>
      <c r="H1083" s="77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x14ac:dyDescent="0.25">
      <c r="A1084" s="1"/>
      <c r="B1084" s="1"/>
      <c r="C1084" s="1"/>
      <c r="D1084" s="1"/>
      <c r="E1084" s="1"/>
      <c r="F1084" s="1"/>
      <c r="G1084" s="1"/>
      <c r="H1084" s="77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  <row r="1085" spans="1:282" x14ac:dyDescent="0.25">
      <c r="A1085" s="1"/>
      <c r="B1085" s="1"/>
      <c r="C1085" s="1"/>
      <c r="D1085" s="1"/>
      <c r="E1085" s="1"/>
      <c r="F1085" s="1"/>
      <c r="G1085" s="1"/>
      <c r="H1085" s="77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</row>
    <row r="1086" spans="1:282" x14ac:dyDescent="0.25">
      <c r="A1086" s="1"/>
      <c r="B1086" s="1"/>
      <c r="C1086" s="1"/>
      <c r="D1086" s="1"/>
      <c r="E1086" s="1"/>
      <c r="F1086" s="1"/>
      <c r="G1086" s="1"/>
      <c r="H1086" s="77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</row>
    <row r="1087" spans="1:282" x14ac:dyDescent="0.25">
      <c r="A1087" s="1"/>
      <c r="B1087" s="1"/>
      <c r="C1087" s="1"/>
      <c r="D1087" s="1"/>
      <c r="E1087" s="1"/>
      <c r="F1087" s="1"/>
      <c r="G1087" s="1"/>
      <c r="H1087" s="77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</row>
    <row r="1088" spans="1:282" x14ac:dyDescent="0.25">
      <c r="A1088" s="1"/>
      <c r="B1088" s="1"/>
      <c r="C1088" s="1"/>
      <c r="D1088" s="1"/>
      <c r="E1088" s="1"/>
      <c r="F1088" s="1"/>
      <c r="G1088" s="1"/>
      <c r="H1088" s="77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</row>
    <row r="1089" spans="1:282" x14ac:dyDescent="0.25">
      <c r="A1089" s="1"/>
      <c r="B1089" s="1"/>
      <c r="C1089" s="1"/>
      <c r="D1089" s="1"/>
      <c r="E1089" s="1"/>
      <c r="F1089" s="1"/>
      <c r="G1089" s="1"/>
      <c r="H1089" s="77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</row>
    <row r="1090" spans="1:282" x14ac:dyDescent="0.25">
      <c r="A1090" s="1"/>
      <c r="B1090" s="1"/>
      <c r="C1090" s="1"/>
      <c r="D1090" s="1"/>
      <c r="E1090" s="1"/>
      <c r="F1090" s="1"/>
      <c r="G1090" s="1"/>
      <c r="H1090" s="77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</row>
    <row r="1091" spans="1:282" x14ac:dyDescent="0.25">
      <c r="A1091" s="1"/>
      <c r="B1091" s="1"/>
      <c r="C1091" s="1"/>
      <c r="D1091" s="1"/>
      <c r="E1091" s="1"/>
      <c r="F1091" s="1"/>
      <c r="G1091" s="1"/>
      <c r="H1091" s="77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</row>
    <row r="1092" spans="1:282" x14ac:dyDescent="0.25">
      <c r="A1092" s="1"/>
      <c r="B1092" s="1"/>
      <c r="C1092" s="1"/>
      <c r="D1092" s="1"/>
      <c r="E1092" s="1"/>
      <c r="F1092" s="1"/>
      <c r="G1092" s="1"/>
      <c r="H1092" s="77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</row>
    <row r="1093" spans="1:282" x14ac:dyDescent="0.25">
      <c r="A1093" s="1"/>
      <c r="B1093" s="1"/>
      <c r="C1093" s="1"/>
      <c r="D1093" s="1"/>
      <c r="E1093" s="1"/>
      <c r="F1093" s="1"/>
      <c r="G1093" s="1"/>
      <c r="H1093" s="77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</row>
    <row r="1094" spans="1:282" x14ac:dyDescent="0.25">
      <c r="A1094" s="1"/>
      <c r="B1094" s="1"/>
      <c r="C1094" s="1"/>
      <c r="D1094" s="1"/>
      <c r="E1094" s="1"/>
      <c r="F1094" s="1"/>
      <c r="G1094" s="1"/>
      <c r="H1094" s="77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</row>
    <row r="1095" spans="1:282" x14ac:dyDescent="0.25">
      <c r="A1095" s="1"/>
      <c r="B1095" s="1"/>
      <c r="C1095" s="1"/>
      <c r="D1095" s="1"/>
      <c r="E1095" s="1"/>
      <c r="F1095" s="1"/>
      <c r="G1095" s="1"/>
      <c r="H1095" s="77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</row>
    <row r="1096" spans="1:282" x14ac:dyDescent="0.25">
      <c r="A1096" s="1"/>
      <c r="B1096" s="1"/>
      <c r="C1096" s="1"/>
      <c r="D1096" s="1"/>
      <c r="E1096" s="1"/>
      <c r="F1096" s="1"/>
      <c r="G1096" s="1"/>
      <c r="H1096" s="77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</row>
    <row r="1097" spans="1:282" x14ac:dyDescent="0.25">
      <c r="A1097" s="1"/>
      <c r="B1097" s="1"/>
      <c r="C1097" s="1"/>
      <c r="D1097" s="1"/>
      <c r="E1097" s="1"/>
      <c r="F1097" s="1"/>
      <c r="G1097" s="1"/>
      <c r="H1097" s="77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</row>
    <row r="1098" spans="1:282" x14ac:dyDescent="0.25">
      <c r="A1098" s="1"/>
      <c r="B1098" s="1"/>
      <c r="C1098" s="1"/>
      <c r="D1098" s="1"/>
      <c r="E1098" s="1"/>
      <c r="F1098" s="1"/>
      <c r="G1098" s="1"/>
      <c r="H1098" s="77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</row>
    <row r="1099" spans="1:282" x14ac:dyDescent="0.25">
      <c r="A1099" s="1"/>
      <c r="B1099" s="1"/>
      <c r="C1099" s="1"/>
      <c r="D1099" s="1"/>
      <c r="E1099" s="1"/>
      <c r="F1099" s="1"/>
      <c r="G1099" s="1"/>
      <c r="H1099" s="77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</row>
    <row r="1100" spans="1:282" x14ac:dyDescent="0.25">
      <c r="A1100" s="1"/>
      <c r="B1100" s="1"/>
      <c r="C1100" s="1"/>
      <c r="D1100" s="1"/>
      <c r="E1100" s="1"/>
      <c r="F1100" s="1"/>
      <c r="G1100" s="1"/>
      <c r="H1100" s="77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</row>
  </sheetData>
  <phoneticPr fontId="3" type="noConversion"/>
  <conditionalFormatting sqref="D8:D54">
    <cfRule type="cellIs" dxfId="7" priority="1" stopIfTrue="1" operator="equal">
      <formula>"Completo"</formula>
    </cfRule>
    <cfRule type="cellIs" dxfId="6" priority="2" stopIfTrue="1" operator="equal">
      <formula>"En progreso"</formula>
    </cfRule>
    <cfRule type="cellIs" dxfId="5" priority="3" stopIfTrue="1" operator="equal">
      <formula>"En Espera"</formula>
    </cfRule>
    <cfRule type="cellIs" dxfId="4" priority="4" stopIfTrue="1" operator="equal">
      <formula>"No Iniciado"</formula>
    </cfRule>
  </conditionalFormatting>
  <conditionalFormatting sqref="K8:K11">
    <cfRule type="cellIs" dxfId="3" priority="5" stopIfTrue="1" operator="equal">
      <formula>"Completo"</formula>
    </cfRule>
    <cfRule type="cellIs" dxfId="2" priority="6" stopIfTrue="1" operator="equal">
      <formula>"En progreso"</formula>
    </cfRule>
    <cfRule type="cellIs" dxfId="1" priority="7" stopIfTrue="1" operator="equal">
      <formula>"En Espera"</formula>
    </cfRule>
    <cfRule type="cellIs" dxfId="0" priority="8" stopIfTrue="1" operator="equal">
      <formula>"No Iniciado"</formula>
    </cfRule>
  </conditionalFormatting>
  <dataValidations count="1">
    <dataValidation type="list" allowBlank="1" showInputMessage="1" showErrorMessage="1" sqref="D8:D54" xr:uid="{00000000-0002-0000-0000-000000000000}">
      <formula1>$K$8:$K$11</formula1>
    </dataValidation>
  </dataValidations>
  <pageMargins left="0.3" right="0.3" top="0.3" bottom="0.3" header="0" footer="0"/>
  <pageSetup scale="68" fitToHeight="0" orientation="landscape" horizontalDpi="4294967292" verticalDpi="4294967292" r:id="rId1"/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Farmaps</vt:lpstr>
      <vt:lpstr>'Cronograma Farmaps'!Área_de_impresión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Juan David Cardozo Prada</cp:lastModifiedBy>
  <dcterms:created xsi:type="dcterms:W3CDTF">2015-02-24T20:54:23Z</dcterms:created>
  <dcterms:modified xsi:type="dcterms:W3CDTF">2026-09-25T14:36:45Z</dcterms:modified>
</cp:coreProperties>
</file>