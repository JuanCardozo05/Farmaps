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Farmaps\3. Gestión de riesgos\"/>
    </mc:Choice>
  </mc:AlternateContent>
  <xr:revisionPtr revIDLastSave="0" documentId="13_ncr:1_{6FE5EBB2-BE39-4043-9D27-F30C1308F1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ón de riesgos" sheetId="1" r:id="rId1"/>
    <sheet name="Matriz de riesgos" sheetId="2" r:id="rId2"/>
    <sheet name="Seguimiento" sheetId="3" r:id="rId3"/>
    <sheet name="Criterios y resumen" sheetId="4" r:id="rId4"/>
  </sheets>
  <externalReferences>
    <externalReference r:id="rId5"/>
    <externalReference r:id="rId6"/>
  </externalReferences>
  <definedNames>
    <definedName name="_xlnm._FilterDatabase" localSheetId="3" hidden="1">'Criterios y resumen'!$A$1:$B$18</definedName>
    <definedName name="_xlnm._FilterDatabase" localSheetId="0" hidden="1">'Evaluación de riesgos'!$B$6:$L$23</definedName>
    <definedName name="_xlnm._FilterDatabase" localSheetId="2" hidden="1">Seguimiento!$A$1:$G$18</definedName>
    <definedName name="_xlnm.Print_Area" localSheetId="3">'Criterios y resumen'!$A$1:$B$18</definedName>
    <definedName name="_xlnm.Print_Area" localSheetId="0">'Evaluación de riesgos'!$B$1:$L$23</definedName>
    <definedName name="_xlnm.Print_Area" localSheetId="1">'Matriz de riesgos'!$B$2:$G$15</definedName>
    <definedName name="_xlnm.Print_Area" localSheetId="2">Seguimiento!$A$1:$G$18</definedName>
    <definedName name="REASSESSMENT_DATE">#REF!</definedName>
    <definedName name="_xlnm.Print_Titles" localSheetId="3">'Criterios y resumen'!$1:$1</definedName>
    <definedName name="_xlnm.Print_Titles" localSheetId="0">'Evaluación de riesgos'!$1:$6</definedName>
    <definedName name="_xlnm.Print_Titles" localSheetId="2">Seguimiento!$1:$1</definedName>
    <definedName name="Type" localSheetId="0">'[1]Project Risk Assessment'!#REF!</definedName>
    <definedName name="Type" localSheetId="1">'[2]KEY - Risk Assessment Matrix'!#REF!</definedName>
    <definedName name="Type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21" i="1"/>
  <c r="L23" i="1"/>
  <c r="L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Farmaps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Evaluación inicial elaborada el 17/09/2026.</t>
        </r>
      </text>
    </comment>
    <comment ref="I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Valoración posterior estimada: solo aplica si se implementan y verifican los controles. No representa una mitigación ya ejecutada. Véanse Seguimiento y Criterios y resumen.</t>
        </r>
      </text>
    </comment>
    <comment ref="L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CONDICIONADO no equivale a autorización incondicional: exige comprobar los controles. Se utiliza el amarillo de nivel medio de la plantilla. NO conserva el rojo original.</t>
        </r>
      </text>
    </comment>
  </commentList>
</comments>
</file>

<file path=xl/sharedStrings.xml><?xml version="1.0" encoding="utf-8"?>
<sst xmlns="http://schemas.openxmlformats.org/spreadsheetml/2006/main" count="393" uniqueCount="217">
  <si>
    <t>Evaluación de Riesgos del Proyecto</t>
  </si>
  <si>
    <t>ID del Proyecto</t>
  </si>
  <si>
    <t>Nombre del Proyecto</t>
  </si>
  <si>
    <t>Gerente del Proyecto</t>
  </si>
  <si>
    <t>FM-001</t>
  </si>
  <si>
    <t>Juan David Cardozo Prada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</si>
  <si>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</si>
  <si>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</si>
  <si>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</si>
  <si>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</si>
  <si>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</si>
  <si>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</si>
  <si>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</si>
  <si>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</si>
  <si>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</si>
  <si>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</si>
  <si>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R01</t>
  </si>
  <si>
    <t>A01–A21 | Ejecución individual</t>
  </si>
  <si>
    <t>INDESEABLE</t>
  </si>
  <si>
    <t>PROBABLE</t>
  </si>
  <si>
    <t>Mitigar: validar la disponibilidad frente a las 73 horas técnicas y las tareas académicas restantes; revisar avance semanalmente y priorizar el alcance aprobado.
Acción correctiva: Replanificar dentro del plazo y acordar prioridades con la docente. No comprometer el cierre sin comprobar capacidad ni suprimir criterios críticos unilateralmente.</t>
  </si>
  <si>
    <t>POSIBLE</t>
  </si>
  <si>
    <t>ACEPTABLE</t>
  </si>
  <si>
    <t>IMPROBABLE</t>
  </si>
  <si>
    <t>BAJO</t>
  </si>
  <si>
    <t>R02</t>
  </si>
  <si>
    <t>A04–A11 | Funcionalidades</t>
  </si>
  <si>
    <t>Solicitudes de compras, reservas, rutas o inventarios reales pueden ampliar el alcance y consumir el tiempo disponible para las funcionalidades comprometidas.</t>
  </si>
  <si>
    <t>Evitar: mantener visibles las exclusiones del acta y valorar el esfuerzo de cualquier cambio antes de aceptarlo.
Acción correctiva: Suspender la ampliación y registrar la decisión con la docente; conservar el prototipo mínimo aprobado.</t>
  </si>
  <si>
    <t>TOLERABLE</t>
  </si>
  <si>
    <t>MEDIO</t>
  </si>
  <si>
    <t>R03</t>
  </si>
  <si>
    <t>A01, A04–A14 | Implementación</t>
  </si>
  <si>
    <t>Dificultades con tecnologías nuevas o dependencias incompatibles pueden provocar retrabajo y bloquear la integración.</t>
  </si>
  <si>
    <t>Mitigar: seleccionar herramientas conocidas, fijar versiones y probar temprano un flujo mínimo de búsqueda, datos y mapa.
Acción correctiva: Simplificar la solución, sustituir la dependencia incompatible por una alternativa evaluada y repetir la integración.</t>
  </si>
  <si>
    <t>ALTO</t>
  </si>
  <si>
    <t>R04</t>
  </si>
  <si>
    <t>A03, A06 | Catálogo de demostración</t>
  </si>
  <si>
    <t>La ausencia de fuentes autorizadas o datos suficientes puede impedir reunir un catálogo útil o llevar al uso indebido de información real.</t>
  </si>
  <si>
    <t>Evitar: preparar datos simulados identificados sin depender de convenios; verificar permiso y fuente antes de incorporar datos reales.
Acción correctiva: Sustituir la información no autorizada por datos ficticios claramente rotulados y completar el conjunto mínimo.</t>
  </si>
  <si>
    <t>INTOLERABLE</t>
  </si>
  <si>
    <t>EXTREMO</t>
  </si>
  <si>
    <t>R05</t>
  </si>
  <si>
    <t>A02, A03, A06, A10 | Calidad de ofertas</t>
  </si>
  <si>
    <t>Precios, presentaciones, moneda o disponibilidad erróneos/desactualizados pueden inducir comparaciones incorrectas o expectativas de existencias no confirmadas.</t>
  </si>
  <si>
    <t>Mitigar: validar campos y relaciones, comparar solo igual presentación y moneda y mostrar disponibilidad reportada, fecha y advertencia de confirmación.
Acción correctiva: Retirar la oferta inválida de los resultados, corregir el registro y repetir pruebas de comparación y actualización.</t>
  </si>
  <si>
    <t>R06</t>
  </si>
  <si>
    <t>A08, A11–A13 | Servicio de mapas</t>
  </si>
  <si>
    <t>Cuotas o caídas del proveedor cartográfico pueden impedir cargar el mapa y afectar la consulta de farmacias.</t>
  </si>
  <si>
    <t>Mitigar: revisar límites y atribución, limitar solicitudes innecesarias y mantener disponible la lista ante fallos del mapa.
Acción correctiva: Informar el fallo y conservar resultados en lista; evaluar un proveedor compatible si la interrupción persiste.</t>
  </si>
  <si>
    <t>R07</t>
  </si>
  <si>
    <t>A09, A16 | Geolocalización</t>
  </si>
  <si>
    <t>El permiso denegado o una ubicación imprecisa del navegador puede impedir calcular cercanía desde el punto correcto.</t>
  </si>
  <si>
    <t>Mitigar: solicitar consentimiento, mostrar la referencia utilizada y ofrecer selección manual de ubicación.
Acción correctiva: Invitar a seleccionar manualmente un punto y recalcular; no usar una ubicación inventada como si fuera la real.</t>
  </si>
  <si>
    <t>R08</t>
  </si>
  <si>
    <t>A09, A10, A16 | Cálculo de distancia</t>
  </si>
  <si>
    <t>Coordenadas invertidas, unidades inconsistentes o errores de cálculo pueden identificar una farmacia equivocada como la más cercana.</t>
  </si>
  <si>
    <t>Mitigar: validar coordenadas y unidades y contrastar el cálculo y ordenamiento con casos conocidos, incluidos empates y puntos coincidentes.
Acción correctiva: Corregir el algoritmo o los datos y bloquear la etiqueta de más cercana hasta superar las pruebas.</t>
  </si>
  <si>
    <t>R09</t>
  </si>
  <si>
    <t>A04, A07, A10, A15 | Búsqueda</t>
  </si>
  <si>
    <t>Filtros inconsistentes o una búsqueda que confunde concentración y presentación pueden ocultar coincidencias o mostrar ofertas no comparables.</t>
  </si>
  <si>
    <t>Mitigar: definir coincidencias, normalizar entrada y probar nombres comerciales, principios activos, presentaciones y búsquedas vacías.
Acción correctiva: Corregir filtros y consultas; repetir casos funcionales y de regresión antes de integrar.</t>
  </si>
  <si>
    <t>R10</t>
  </si>
  <si>
    <t>A02, A03, A12, A21 | Persistencia y respaldo</t>
  </si>
  <si>
    <t>Un cambio de esquema, error de carga o respaldo incompleto puede perder el catálogo y bloquear la demostración.</t>
  </si>
  <si>
    <t>Mitigar: versionar esquema y datos de prueba, respaldar antes de cambios y ensayar la restauración.
Acción correctiva: Restaurar una copia verificada o reconstruir el catálogo de prueba y comprobar integridad.</t>
  </si>
  <si>
    <t>R11</t>
  </si>
  <si>
    <t>A05, A06, A16 | Acceso administrativo</t>
  </si>
  <si>
    <t>Una validación insuficiente del acceso puede permitir modificaciones no autorizadas del catálogo y comprometer la integridad del prototipo.</t>
  </si>
  <si>
    <t>Mitigar: comprobar autorización en cada operación administrativa, usar hash seguro de contraseñas y probar solicitudes sin sesión.
Acción correctiva: Deshabilitar la administración expuesta, corregir el control de acceso y repetir todos los casos críticos afectados.</t>
  </si>
  <si>
    <t>R12</t>
  </si>
  <si>
    <t>A01, A09, A12, A21 | Credenciales y privacidad</t>
  </si>
  <si>
    <t>Credenciales incluidas en el repositorio o ubicación del visitante persistida accidentalmente pueden exponer acceso a servicios o datos personales.</t>
  </si>
  <si>
    <t>Mitigar: mantener secretos en variables de entorno, revisar cambios antes de subirlos y excluir ubicación y datos de salud de almacenamiento y registros.
Acción correctiva: Revocar y rotar credenciales expuestas, retirar datos indebidos y corregir la fuente de exposición antes de continuar la publicación.</t>
  </si>
  <si>
    <t>R13</t>
  </si>
  <si>
    <t>A07, A08, A11, A17 | Interfaz y navegadores</t>
  </si>
  <si>
    <t>Diferencias entre navegadores o diseños no adaptables pueden ocultar controles o impedir los flujos principales en móvil.</t>
  </si>
  <si>
    <t>Mitigar: comprobar pronto 360 px y 1366 px, etiquetas y teclado; ensayar dos navegadores de escritorio y uno móvil.
Acción correctiva: Corregir estilos y eventos y repetir los flujos en las configuraciones afectadas.</t>
  </si>
  <si>
    <t>R14</t>
  </si>
  <si>
    <t>A04, A08, A10, A18 | Rendimiento</t>
  </si>
  <si>
    <t>Consultas ineficientes o solicitudes repetidas al mapa pueden superar el tiempo máximo de respuesta del acta.</t>
  </si>
  <si>
    <t>Mitigar: medir con el catálogo de prueba, evitar consultas duplicadas y optimizar la carga de resultados y marcadores.
Acción correctiva: Identificar el cuello de botella, optimizar y repetir las 10 mediciones sin ocultar fallos.</t>
  </si>
  <si>
    <t>R15</t>
  </si>
  <si>
    <t>A08, A12, A21 | Servicios gratuitos y licencias</t>
  </si>
  <si>
    <t>Restricciones de alojamiento, cambios de cuotas o una licencia incompatible pueden impedir la publicación o generar costos no previstos.</t>
  </si>
  <si>
    <t>Mitigar: verificar términos, atribución, HTTPS, persistencia y límites gratuitos; no activar facturación sin decisión expresa.
Acción correctiva: Corregir atribución o migrar a una opción compatible evaluada. Si no hay alojamiento viable, informar y usar demostración local reproducible según el alcance.</t>
  </si>
  <si>
    <t>R16</t>
  </si>
  <si>
    <t>A01–A21 | Equipo y conectividad</t>
  </si>
  <si>
    <t>Fallo del computador o pérdida prolongada de conexión puede interrumpir el trabajo del único integrante o la demostración.</t>
  </si>
  <si>
    <t>Mitigar: guardar versiones y copias de datos periódicamente y preparar ejecución local y un medio alternativo de conexión cuando sea posible.
Acción correctiva: Recuperar la última copia en un equipo autorizado disponible, usar modo local y reprogramar tareas dentro del plazo.</t>
  </si>
  <si>
    <t>R17</t>
  </si>
  <si>
    <t>A13–A21 | Integración y calidad final</t>
  </si>
  <si>
    <t>Defectos descubiertos tarde o pruebas omitidas por presión de tiempo pueden dejar funciones críticas inoperativas al cierre.</t>
  </si>
  <si>
    <t>Mitigar: integrar por incrementos, ejecutar pruebas antes del hito del 20/11 y reservar los ajustes finales sin agregar alcance.
Acción correctiva: Detener la publicación de la función afectada, corregir y repetir regresión; comunicar el impacto en la fecha si no se resuelve.</t>
  </si>
  <si>
    <t>CLAVE DE
VALORACIÓN
DEL RIESGO</t>
  </si>
  <si>
    <t>Tan bajo como sea razonablemente posible (ALARP)</t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</si>
  <si>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</si>
  <si>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</si>
  <si>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</si>
  <si>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</si>
  <si>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</si>
  <si>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</si>
  <si>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</si>
  <si>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</si>
  <si>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</si>
  <si>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</si>
  <si>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</si>
  <si>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</si>
  <si>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</si>
  <si>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Pérdida del resultado del proyecto o daño no aceptable para su contexto.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</si>
  <si>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</si>
  <si>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</si>
  <si>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</si>
  <si>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</si>
  <si>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</si>
  <si>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</si>
  <si>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</si>
  <si>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ID</t>
  </si>
  <si>
    <t>Responsable de respuesta</t>
  </si>
  <si>
    <t>Señal de alerta</t>
  </si>
  <si>
    <t>Acción correctiva / contingencia</t>
  </si>
  <si>
    <t>Evidencia para reevaluar</t>
  </si>
  <si>
    <t>Momento de revisión</t>
  </si>
  <si>
    <t>Estado</t>
  </si>
  <si>
    <t>Desviación acumulada mayor al 20 % de las horas previstas o pronóstico de incumplimiento de un hito.</t>
  </si>
  <si>
    <t>Replanificar dentro del plazo y acordar prioridades con la docente. No comprometer el cierre sin comprobar capacidad ni suprimir criterios críticos unilateralmente.</t>
  </si>
  <si>
    <t>Plan de horas actualizado y pronóstico de cierre viable; reevaluar el residual alto antes de aceptar el compromiso.</t>
  </si>
  <si>
    <t>Antes de la actividad asociada, semanalmente durante su ejecución y antes de los hitos.</t>
  </si>
  <si>
    <t>Abierto; controles propuestos, no verificados.</t>
  </si>
  <si>
    <t>Solicitud de una funcionalidad no incluida en el acta o trabajo iniciado sin estimación.</t>
  </si>
  <si>
    <t>Suspender la ampliación y registrar la decisión con la docente; conservar el prototipo mínimo aprobado.</t>
  </si>
  <si>
    <t>Lista de alcance contrastada con el código y cambios evaluados, sin funcionalidades extra comprometidas.</t>
  </si>
  <si>
    <t>Un bloqueo técnico consume más de 2 horas sin avance verificable o falla la instalación reproducible.</t>
  </si>
  <si>
    <t>Simplificar la solución, sustituir la dependencia incompatible por una alternativa evaluada y repetir la integración.</t>
  </si>
  <si>
    <t>Instalación limpia y flujo mínimo ejecutado con versiones registradas.</t>
  </si>
  <si>
    <t>Catálogo inferior a 5 farmacias, 20 medicamentos o 30 ofertas, o ausencia de fuente verificable en datos reales.</t>
  </si>
  <si>
    <t>Sustituir la información no autorizada por datos ficticios claramente rotulados y completar el conjunto mínimo.</t>
  </si>
  <si>
    <t>Conteo mínimo cumplido y origen o carácter simulado registrado.</t>
  </si>
  <si>
    <t>Precio no positivo, oferta asociada al medicamento equivocado o diferencia entre ficha y base de datos.</t>
  </si>
  <si>
    <t>Retirar la oferta inválida de los resultados, corregir el registro y repetir pruebas de comparación y actualización.</t>
  </si>
  <si>
    <t>Pruebas con ofertas válidas e inválidas; avisos y fecha visibles sin garantía de inventario en tiempo real.</t>
  </si>
  <si>
    <t>Respuesta de cuota agotada, error de servicio o mapa sin cargar.</t>
  </si>
  <si>
    <t>Informar el fallo y conservar resultados en lista; evaluar un proveedor compatible si la interrupción persiste.</t>
  </si>
  <si>
    <t>Simulación de fallo del mapa con lista operativa y error explícito; política y cuota revisadas.</t>
  </si>
  <si>
    <t>Permiso denegado, tiempo de espera agotado o punto que el usuario identifica como incorrecto.</t>
  </si>
  <si>
    <t>Invitar a seleccionar manualmente un punto y recalcular; no usar una ubicación inventada como si fuera la real.</t>
  </si>
  <si>
    <t>Flujo completo con permiso denegado y con punto manual, sin persistir coordenadas del visitante.</t>
  </si>
  <si>
    <t>Distancia negativa, orden incorrecto o discrepancia frente a los valores esperados.</t>
  </si>
  <si>
    <t>Corregir el algoritmo o los datos y bloquear la etiqueta de más cercana hasta superar las pruebas.</t>
  </si>
  <si>
    <t>Casos de referencia aprobados y distancia rotulada como aproximada en línea recta, no ruta vial.</t>
  </si>
  <si>
    <t>Un medicamento existente no aparece o se mezclan presentaciones o monedas en la comparación.</t>
  </si>
  <si>
    <t>Corregir filtros y consultas; repetir casos funcionales y de regresión antes de integrar.</t>
  </si>
  <si>
    <t>Casos positivos y negativos de búsqueda aprobados sin mezclar ofertas incompatibles.</t>
  </si>
  <si>
    <t>Conteos inesperados, fallo de migración o ausencia de un respaldo recuperable.</t>
  </si>
  <si>
    <t>Restaurar una copia verificada o reconstruir el catálogo de prueba y comprobar integridad.</t>
  </si>
  <si>
    <t>Restauración ensayada con el catálogo mínimo y relaciones correctas.</t>
  </si>
  <si>
    <t>Una consulta de modificación funciona sin autorización o se detecta una contraseña almacenada en texto claro.</t>
  </si>
  <si>
    <t>Deshabilitar la administración expuesta, corregir el control de acceso y repetir todos los casos críticos afectados.</t>
  </si>
  <si>
    <t>Operaciones no autorizadas rechazadas y casos de autenticación aprobados antes de publicar.</t>
  </si>
  <si>
    <t>Un secreto aparece en código/historial o las coordenadas del visitante se guardan sin estar previstas.</t>
  </si>
  <si>
    <t>Revocar y rotar credenciales expuestas, retirar datos indebidos y corregir la fuente de exposición antes de continuar la publicación.</t>
  </si>
  <si>
    <t>Revisión del repositorio, configuración y almacenamiento sin credenciales expuestas ni ubicación persistida; solo datos de demostración.</t>
  </si>
  <si>
    <t>Búsqueda o ficha no utilizables, controles fuera de pantalla o navegación por teclado bloqueada.</t>
  </si>
  <si>
    <t>Corregir estilos y eventos y repetir los flujos en las configuraciones afectadas.</t>
  </si>
  <si>
    <t>Resultados registrados con versiones y anchos del acta, sin pérdida de controles esenciales.</t>
  </si>
  <si>
    <t>Menos de 9 de 10 búsquedas completan lista y marcadores en máximo 3 segundos bajo las condiciones definidas.</t>
  </si>
  <si>
    <t>Identificar el cuello de botella, optimizar y repetir las 10 mediciones sin ocultar fallos.</t>
  </si>
  <si>
    <t>Al menos 9/10 búsquedas en máximo 3 segundos, con mapa cargado, conexión estable y entorno registrado.</t>
  </si>
  <si>
    <t>Exigencia de pago, servicio suspendido, atribución ausente o incompatibilidad con la licencia.</t>
  </si>
  <si>
    <t>Corregir atribución o migrar a una opción compatible evaluada. Si no hay alojamiento viable, informar y usar demostración local reproducible según el alcance.</t>
  </si>
  <si>
    <t>Condiciones de uso revisadas y despliegue verificado, o limitación documentada y ejecución local comprobada; sin gasto no autorizado.</t>
  </si>
  <si>
    <t>Interrupción mayor a una sesión de trabajo o imposibilidad de acceder a la copia del proyecto.</t>
  </si>
  <si>
    <t>Recuperar la última copia en un equipo autorizado disponible, usar modo local y reprogramar tareas dentro del plazo.</t>
  </si>
  <si>
    <t>Código y datos recuperables y demostración local ensayada; alternativa de acceso confirmada, no presumida.</t>
  </si>
  <si>
    <t>Un caso crítico falla o se pretende publicar sin ejecutar al menos 15 casos de prueba.</t>
  </si>
  <si>
    <t>Detener la publicación de la función afectada, corregir y repetir regresión; comunicar el impacto en la fecha si no se resuelve.</t>
  </si>
  <si>
    <t>Al menos 14/15 casos aprobados y 100 % de los críticos, sin bloqueos críticos; versión final comprobada antes del 27/11.</t>
  </si>
  <si>
    <t>Tema</t>
  </si>
  <si>
    <t>Criterio / interpretación</t>
  </si>
  <si>
    <t>Referencia y fecha</t>
  </si>
  <si>
    <t>Farmaps. Evaluación inicial del 17/09/2026 basada en el acta actualizada, las 21 actividades de desarrollo A01–A21 y la EDT técnica. No es una auditoría del software ni evidencia de vulnerabilidades observadas.</t>
  </si>
  <si>
    <t>ID del proyecto</t>
  </si>
  <si>
    <t>FM-001 es un identificador de trabajo propuesto para este registro, no un código institucional confirmado.</t>
  </si>
  <si>
    <t>Alcance</t>
  </si>
  <si>
    <t>Riesgos técnicos y transversales que pueden afectar el desarrollo individual, sus datos, calidad, servicios y plazo. No se agregan funcionalidades ni se modifica el alcance del acta.</t>
  </si>
  <si>
    <t>Método</t>
  </si>
  <si>
    <t>Se aplica la matriz cualitativa adjunta, sin multiplicaciones ni probabilidades numéricas inventadas. Severidad: aceptable, tolerable, indeseable e intolerable. Probabilidad: improbable, posible y probable. El nivel se obtiene por intersección exacta en la matriz.</t>
  </si>
  <si>
    <t>Probabilidad</t>
  </si>
  <si>
    <t>Improbable: poco probable, pero plausible. Posible: puede ocurrir en algún momento. Probable: se considera muy probable bajo los supuestos actuales. Son juicios iniciales de planeación, no frecuencias medidas.</t>
  </si>
  <si>
    <t>Severidad</t>
  </si>
  <si>
    <t>Aceptable: poco o ningún efecto. Tolerable: efectos perceptibles pero no críticos para el resultado. Indeseable: impacto serio en el curso de acción y el resultado. Intolerable: pérdida del resultado o daño no aceptable en este contexto.</t>
  </si>
  <si>
    <t>Pre-mitigación</t>
  </si>
  <si>
    <t>Exposición inicial antes de aplicar y comprobar los controles propuestos. El desarrollo aún no se ha iniciado, según lo informado por el estudiante.</t>
  </si>
  <si>
    <t>Post-mitigación estimada</t>
  </si>
  <si>
    <t>Escenario esperado únicamente si se implementan y verifican las acciones. No significa que el riesgo haya bajado realmente ni que se hayan ejecutado controles. La severidad solo se reduce cuando una alternativa o recuperación limita las consecuencias.</t>
  </si>
  <si>
    <t>Aceptable para continuar</t>
  </si>
  <si>
    <t>CONDICIONADO: residual estimado bajo o medio; continuar la actividad afectada solo tras comprobar los controles y la evidencia de Seguimiento. NO: residual alto o extremo; reevaluar y buscar orientación antes de asumir el compromiso o publicar el componente afectado. Esto no exige detener tareas independientes de mitigación.</t>
  </si>
  <si>
    <t>R01 requiere reevaluación</t>
  </si>
  <si>
    <t>La ejecución individual conserva un residual ALTO: no se presume que una revisión semanal resuelva la capacidad limitada. Validar horas disponibles y pronóstico de cierre con la docente antes de aceptar el compromiso; no extender noviembre ni recortar criterios críticos unilateralmente.</t>
  </si>
  <si>
    <t>Responsables</t>
  </si>
  <si>
    <t>Juan David Cardozo Prada ejecuta y verifica las acciones. Claudia Marcela Cifuentes es la docente/patrocinadora académica de referencia para decisiones de alcance o plazo; no se le asigna desarrollo ni financiación.</t>
  </si>
  <si>
    <t>Plazo y capacidad</t>
  </si>
  <si>
    <t>Proyecto global: 17/09/2026 a última semana de noviembre. Hitos técnicos: 11/11 integración, 20/11 pruebas y 27/11 cierre; entrega formal del acta: 28/11. Referencias de esfuerzo: 73 horas técnicas dentro de 120 horas globales; son estimaciones, no disponibilidad confirmada.</t>
  </si>
  <si>
    <t>Presupuesto</t>
  </si>
  <si>
    <t>Se mantiene la estimación del acta de COP 1.950.000, con COP 50.000 de reserva. No se presupone compra de equipo, servicios pagos, personal adicional ni nuevas autorizaciones de gasto.</t>
  </si>
  <si>
    <t>Seguimiento</t>
  </si>
  <si>
    <t>Revisar semanalmente y ante cada disparador, actualización de dependencia, cambio de alcance o incidente. Registrar evidencia, recalificar severidad/probabilidad y verificar el resultado automático. Ningún riesgo se marca cerrado en esta evaluación.</t>
  </si>
  <si>
    <t>Resumen inicial — valores al elaborar</t>
  </si>
  <si>
    <t>BAJO: 0; MEDIO: 1; ALTO: 16; EXTREMO: 0. Total: 17 riesgos.</t>
  </si>
  <si>
    <t>Resumen residual — escenario estimado</t>
  </si>
  <si>
    <t>BAJO: 0; MEDIO: 16; ALTO: 1; EXTREMO: 0. Total: 17 riesgos; no son controles comprobados.</t>
  </si>
  <si>
    <t>Actualización del libro</t>
  </si>
  <si>
    <t>Las columnas G y K recalculan el nivel al editar las categorías E/F e I/J; L recalcula la condición. Las listas desplegables utilizan las categorías de la plantilla en español. El resumen es una instantánea de elaboración y debe actualizarse si se modifica la evaluación.</t>
  </si>
  <si>
    <t xml:space="preserve">Farmaps </t>
  </si>
  <si>
    <t>Alto</t>
  </si>
  <si>
    <t>Medio</t>
  </si>
  <si>
    <t>La disponibilidad limitada del único desarrollador y una subestimación del esfuerzo pueden retrasar pruebas y cierre técnico más allá de la última semana de noviembre.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</si>
</sst>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26"/>
      <color rgb="FF001033"/>
      <name val="Century Gothic"/>
      <family val="1"/>
    </font>
    <font>
      <b/>
      <sz val="11"/>
      <color rgb="FFFFFFFF"/>
      <name val="Calibri"/>
    </font>
    <font>
      <sz val="11"/>
      <name val="Calibri"/>
    </font>
    <font>
      <sz val="12"/>
      <color indexed="8"/>
      <name val="Century Gothic"/>
      <family val="1"/>
    </font>
    <font>
      <sz val="12"/>
      <color theme="1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3" tint="0.59996337778862885"/>
        <bgColor indexed="65"/>
      </patternFill>
    </fill>
    <fill>
      <patternFill patternType="solid">
        <fgColor rgb="FFFFA80B"/>
      </patternFill>
    </fill>
    <fill>
      <patternFill patternType="solid">
        <fgColor rgb="FFEAEEF3"/>
      </patternFill>
    </fill>
    <fill>
      <patternFill patternType="solid">
        <fgColor theme="0"/>
      </patternFill>
    </fill>
    <fill>
      <patternFill patternType="solid">
        <fgColor rgb="FFFFEC97"/>
      </patternFill>
    </fill>
  </fills>
  <borders count="3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B8C9D9"/>
      </left>
      <right style="thin">
        <color rgb="FFB8C9D9"/>
      </right>
      <top style="thin">
        <color rgb="FFB8C9D9"/>
      </top>
      <bottom style="thin">
        <color rgb="FFB8C9D9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 wrapText="1"/>
    </xf>
    <xf numFmtId="0" fontId="8" fillId="3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top" wrapText="1"/>
    </xf>
    <xf numFmtId="0" fontId="8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top" wrapText="1"/>
    </xf>
    <xf numFmtId="0" fontId="10" fillId="3" borderId="12" xfId="0" applyFont="1" applyFill="1" applyBorder="1" applyAlignment="1">
      <alignment horizontal="center" vertical="top" wrapText="1"/>
    </xf>
    <xf numFmtId="0" fontId="10" fillId="4" borderId="13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0" fontId="8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top" wrapText="1"/>
    </xf>
    <xf numFmtId="0" fontId="10" fillId="5" borderId="13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left" vertical="center" wrapText="1" indent="1"/>
    </xf>
    <xf numFmtId="0" fontId="6" fillId="0" borderId="18" xfId="0" applyFont="1" applyBorder="1" applyAlignment="1">
      <alignment wrapText="1"/>
    </xf>
    <xf numFmtId="0" fontId="9" fillId="0" borderId="18" xfId="0" applyFont="1" applyBorder="1" applyAlignment="1">
      <alignment vertical="center"/>
    </xf>
    <xf numFmtId="0" fontId="13" fillId="12" borderId="0" xfId="0" applyFont="1" applyFill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15" fillId="12" borderId="0" xfId="0" applyFont="1" applyFill="1" applyAlignment="1">
      <alignment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vertical="center" wrapText="1"/>
    </xf>
    <xf numFmtId="0" fontId="17" fillId="15" borderId="37" xfId="0" applyFont="1" applyFill="1" applyBorder="1" applyAlignment="1">
      <alignment vertical="top" wrapText="1"/>
    </xf>
    <xf numFmtId="0" fontId="17" fillId="14" borderId="37" xfId="0" applyFont="1" applyFill="1" applyBorder="1" applyAlignment="1">
      <alignment vertical="top" wrapText="1"/>
    </xf>
    <xf numFmtId="0" fontId="5" fillId="0" borderId="0" xfId="0" applyFont="1"/>
    <xf numFmtId="0" fontId="18" fillId="0" borderId="7" xfId="0" applyFont="1" applyBorder="1"/>
    <xf numFmtId="0" fontId="18" fillId="11" borderId="20" xfId="0" applyFont="1" applyFill="1" applyBorder="1" applyAlignment="1">
      <alignment horizontal="left" vertical="center" wrapText="1" indent="1"/>
    </xf>
    <xf numFmtId="0" fontId="20" fillId="6" borderId="1" xfId="0" applyFont="1" applyFill="1" applyBorder="1" applyAlignment="1">
      <alignment horizontal="left" vertical="center" wrapText="1" indent="1"/>
    </xf>
    <xf numFmtId="0" fontId="20" fillId="6" borderId="32" xfId="0" applyFont="1" applyFill="1" applyBorder="1" applyAlignment="1">
      <alignment horizontal="left" vertical="center" wrapText="1" indent="1"/>
    </xf>
    <xf numFmtId="0" fontId="20" fillId="6" borderId="30" xfId="0" applyFont="1" applyFill="1" applyBorder="1" applyAlignment="1">
      <alignment horizontal="left" vertical="center" wrapText="1" indent="1"/>
    </xf>
    <xf numFmtId="0" fontId="20" fillId="7" borderId="4" xfId="0" applyFont="1" applyFill="1" applyBorder="1" applyAlignment="1">
      <alignment horizontal="left" vertical="center" wrapText="1" indent="1"/>
    </xf>
    <xf numFmtId="0" fontId="20" fillId="7" borderId="24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left" vertical="center" wrapText="1" indent="1"/>
    </xf>
    <xf numFmtId="0" fontId="21" fillId="0" borderId="5" xfId="0" applyFont="1" applyBorder="1" applyAlignment="1">
      <alignment horizontal="left" vertical="center" wrapText="1" indent="1"/>
    </xf>
    <xf numFmtId="0" fontId="21" fillId="16" borderId="5" xfId="0" applyFont="1" applyFill="1" applyBorder="1" applyAlignment="1">
      <alignment horizontal="left" vertical="center" wrapText="1" indent="1"/>
    </xf>
    <xf numFmtId="0" fontId="21" fillId="17" borderId="33" xfId="0" applyFont="1" applyFill="1" applyBorder="1" applyAlignment="1">
      <alignment horizontal="left" vertical="center" wrapText="1" indent="1"/>
    </xf>
    <xf numFmtId="0" fontId="20" fillId="18" borderId="31" xfId="0" applyFont="1" applyFill="1" applyBorder="1" applyAlignment="1">
      <alignment horizontal="left" vertical="center" wrapText="1" indent="1"/>
    </xf>
    <xf numFmtId="0" fontId="21" fillId="0" borderId="6" xfId="0" applyFont="1" applyBorder="1" applyAlignment="1">
      <alignment horizontal="left" vertical="center" wrapText="1" indent="1"/>
    </xf>
    <xf numFmtId="0" fontId="21" fillId="16" borderId="33" xfId="0" applyFont="1" applyFill="1" applyBorder="1" applyAlignment="1">
      <alignment horizontal="left" vertical="center" wrapText="1" indent="1"/>
    </xf>
    <xf numFmtId="0" fontId="21" fillId="19" borderId="5" xfId="0" applyFont="1" applyFill="1" applyBorder="1" applyAlignment="1">
      <alignment horizontal="left" vertical="center" wrapText="1" indent="1"/>
    </xf>
    <xf numFmtId="0" fontId="21" fillId="20" borderId="33" xfId="0" applyFont="1" applyFill="1" applyBorder="1" applyAlignment="1">
      <alignment horizontal="left" vertical="center" wrapText="1" indent="1"/>
    </xf>
    <xf numFmtId="0" fontId="20" fillId="21" borderId="31" xfId="0" applyFont="1" applyFill="1" applyBorder="1" applyAlignment="1">
      <alignment horizontal="left" vertical="center" wrapText="1" indent="1"/>
    </xf>
    <xf numFmtId="0" fontId="20" fillId="21" borderId="25" xfId="0" applyFont="1" applyFill="1" applyBorder="1" applyAlignment="1">
      <alignment horizontal="center" vertical="center" wrapText="1"/>
    </xf>
    <xf numFmtId="0" fontId="21" fillId="10" borderId="26" xfId="0" applyFont="1" applyFill="1" applyBorder="1" applyAlignment="1">
      <alignment horizontal="left" vertical="center" wrapText="1" indent="1"/>
    </xf>
    <xf numFmtId="0" fontId="21" fillId="0" borderId="26" xfId="0" applyFont="1" applyBorder="1" applyAlignment="1">
      <alignment horizontal="left" vertical="center" wrapText="1" indent="1"/>
    </xf>
    <xf numFmtId="0" fontId="21" fillId="16" borderId="26" xfId="0" applyFont="1" applyFill="1" applyBorder="1" applyAlignment="1">
      <alignment horizontal="left" vertical="center" wrapText="1" indent="1"/>
    </xf>
    <xf numFmtId="0" fontId="21" fillId="17" borderId="34" xfId="0" applyFont="1" applyFill="1" applyBorder="1" applyAlignment="1">
      <alignment horizontal="left" vertical="center" wrapText="1" indent="1"/>
    </xf>
    <xf numFmtId="0" fontId="21" fillId="0" borderId="27" xfId="0" applyFont="1" applyBorder="1" applyAlignment="1">
      <alignment horizontal="left" vertical="center" wrapText="1" indent="1"/>
    </xf>
    <xf numFmtId="0" fontId="21" fillId="20" borderId="34" xfId="0" applyFont="1" applyFill="1" applyBorder="1" applyAlignment="1">
      <alignment horizontal="left" vertical="center" wrapText="1" indent="1"/>
    </xf>
    <xf numFmtId="0" fontId="20" fillId="21" borderId="28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left" vertical="center" wrapText="1" indent="1"/>
    </xf>
    <xf numFmtId="0" fontId="19" fillId="0" borderId="21" xfId="0" applyFont="1" applyBorder="1"/>
    <xf numFmtId="0" fontId="19" fillId="0" borderId="29" xfId="0" applyFont="1" applyBorder="1"/>
    <xf numFmtId="0" fontId="18" fillId="0" borderId="0" xfId="0" applyFont="1" applyAlignment="1">
      <alignment horizontal="left"/>
    </xf>
    <xf numFmtId="0" fontId="19" fillId="0" borderId="0" xfId="0" applyFont="1"/>
    <xf numFmtId="0" fontId="14" fillId="9" borderId="35" xfId="0" applyFont="1" applyFill="1" applyBorder="1" applyAlignment="1">
      <alignment horizontal="left" vertical="center" indent="1"/>
    </xf>
    <xf numFmtId="0" fontId="0" fillId="0" borderId="19" xfId="0" applyBorder="1"/>
    <xf numFmtId="0" fontId="0" fillId="0" borderId="23" xfId="0" applyBorder="1"/>
    <xf numFmtId="0" fontId="14" fillId="8" borderId="35" xfId="0" applyFont="1" applyFill="1" applyBorder="1" applyAlignment="1">
      <alignment horizontal="left" vertical="center" indent="1"/>
    </xf>
    <xf numFmtId="0" fontId="18" fillId="0" borderId="20" xfId="0" applyFont="1" applyBorder="1" applyAlignment="1">
      <alignment horizontal="left" vertical="center" wrapText="1" indent="1"/>
    </xf>
    <xf numFmtId="0" fontId="19" fillId="0" borderId="22" xfId="0" applyFont="1" applyBorder="1"/>
    <xf numFmtId="0" fontId="12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Alignment="1">
      <alignment vertical="top"/>
    </xf>
    <xf numFmtId="0" fontId="9" fillId="0" borderId="4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4" xfId="0" applyBorder="1"/>
    <xf numFmtId="0" fontId="8" fillId="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8" fillId="2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4" xfId="0" applyBorder="1"/>
    <xf numFmtId="0" fontId="7" fillId="0" borderId="17" xfId="0" applyFont="1" applyBorder="1" applyAlignment="1">
      <alignment horizontal="center" vertical="center" textRotation="90" wrapText="1"/>
    </xf>
    <xf numFmtId="0" fontId="0" fillId="0" borderId="17" xfId="0" applyBorder="1"/>
    <xf numFmtId="0" fontId="8" fillId="3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</cellXfs>
  <cellStyles count="4">
    <cellStyle name="Hipervínculo" xfId="2" builtinId="8" hidden="1"/>
    <cellStyle name="Hipervínculo visitado" xfId="1" builtinId="9" hidden="1"/>
    <cellStyle name="Normal" xfId="0" builtinId="0"/>
    <cellStyle name="Normal 2" xfId="3" xr:uid="{00000000-0005-0000-0000-000003000000}"/>
  </cellStyles>
  <dxfs count="25">
    <dxf>
      <font>
        <color theme="1"/>
      </font>
      <fill>
        <patternFill>
          <bgColor rgb="FFFFEC97"/>
        </patternFill>
      </fill>
    </dxf>
    <dxf>
      <font>
        <color theme="1"/>
      </font>
      <fill>
        <patternFill>
          <bgColor rgb="FF00BD32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A80B"/>
        </patternFill>
      </fill>
    </dxf>
    <dxf>
      <font>
        <color auto="1"/>
      </font>
      <fill>
        <patternFill>
          <bgColor rgb="FFFFEC97"/>
        </patternFill>
      </fill>
    </dxf>
    <dxf>
      <font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ject%20Risk%20Assessmen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KEY%20-%20Risk%20Assessment%20Matri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isk Assessmen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- Risk Assessment Matri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W24"/>
  <sheetViews>
    <sheetView showGridLines="0" tabSelected="1" zoomScale="65" workbookViewId="0">
      <pane xSplit="4" ySplit="6" topLeftCell="E7" activePane="bottomRight" state="frozen"/>
      <selection pane="topRight"/>
      <selection pane="bottomLeft"/>
      <selection pane="bottomRight" activeCell="N8" sqref="N8"/>
    </sheetView>
  </sheetViews>
  <sheetFormatPr baseColWidth="10" defaultColWidth="8.88671875" defaultRowHeight="14.4" x14ac:dyDescent="0.3"/>
  <cols>
    <col min="1" max="1" width="3.33203125" customWidth="1"/>
    <col min="2" max="2" width="20.6640625" customWidth="1"/>
    <col min="3" max="4" width="25.88671875" customWidth="1"/>
    <col min="5" max="5" width="21.109375" customWidth="1"/>
    <col min="6" max="6" width="23.21875" customWidth="1"/>
    <col min="7" max="7" width="25.33203125" customWidth="1"/>
    <col min="8" max="8" width="38.6640625" customWidth="1"/>
    <col min="9" max="9" width="20.88671875" customWidth="1"/>
    <col min="10" max="10" width="21" customWidth="1"/>
    <col min="11" max="11" width="21.109375" customWidth="1"/>
    <col min="12" max="12" width="20.2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3" width="3.33203125" customWidth="1"/>
  </cols>
  <sheetData>
    <row r="1" spans="1:23" s="29" customFormat="1" ht="42" customHeight="1" x14ac:dyDescent="0.3">
      <c r="A1" s="38"/>
      <c r="B1" s="30" t="s">
        <v>0</v>
      </c>
      <c r="C1" s="28"/>
      <c r="D1" s="38"/>
      <c r="E1" s="28"/>
      <c r="G1" s="28"/>
      <c r="H1" s="38"/>
      <c r="I1" s="2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ht="15.75" customHeight="1" x14ac:dyDescent="0.3">
      <c r="A2" s="38"/>
      <c r="B2" s="39" t="s">
        <v>1</v>
      </c>
      <c r="C2" s="39" t="s">
        <v>2</v>
      </c>
      <c r="D2" s="39"/>
      <c r="E2" s="39"/>
      <c r="F2" s="39"/>
      <c r="G2" s="39"/>
      <c r="H2" s="39"/>
      <c r="I2" s="67" t="s">
        <v>3</v>
      </c>
      <c r="J2" s="68"/>
      <c r="K2" s="6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ht="35.1" customHeight="1" thickBot="1" x14ac:dyDescent="0.35">
      <c r="A3" s="38"/>
      <c r="B3" s="40" t="s">
        <v>4</v>
      </c>
      <c r="C3" s="73" t="s">
        <v>213</v>
      </c>
      <c r="D3" s="65"/>
      <c r="E3" s="65"/>
      <c r="F3" s="65"/>
      <c r="G3" s="65"/>
      <c r="H3" s="74"/>
      <c r="I3" s="64" t="s">
        <v>5</v>
      </c>
      <c r="J3" s="65"/>
      <c r="K3" s="66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</row>
    <row r="4" spans="1:23" ht="15.75" customHeight="1" thickBot="1" x14ac:dyDescent="0.3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</row>
    <row r="5" spans="1:23" s="5" customFormat="1" ht="30" customHeight="1" thickBot="1" x14ac:dyDescent="0.35">
      <c r="A5" s="38"/>
      <c r="B5" s="25"/>
      <c r="C5" s="25"/>
      <c r="D5" s="26"/>
      <c r="E5" s="69" t="s">
        <v>6</v>
      </c>
      <c r="F5" s="70"/>
      <c r="G5" s="71"/>
      <c r="H5" s="25"/>
      <c r="I5" s="72" t="s">
        <v>7</v>
      </c>
      <c r="J5" s="70"/>
      <c r="K5" s="71"/>
      <c r="L5" s="27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</row>
    <row r="6" spans="1:23" s="5" customFormat="1" ht="33" customHeight="1" thickTop="1" x14ac:dyDescent="0.3">
      <c r="A6" s="38"/>
      <c r="B6" s="41" t="s">
        <v>8</v>
      </c>
      <c r="C6" s="41" t="s">
        <v>9</v>
      </c>
      <c r="D6" s="41" t="s">
        <v>10</v>
      </c>
      <c r="E6" s="41" t="s">
        <v>11</v>
      </c>
      <c r="F6" s="42" t="s">
        <v>12</v>
      </c>
      <c r="G6" s="43" t="s">
        <v>13</v>
      </c>
      <c r="H6" s="44" t="s">
        <v>14</v>
      </c>
      <c r="I6" s="41" t="s">
        <v>11</v>
      </c>
      <c r="J6" s="42" t="s">
        <v>12</v>
      </c>
      <c r="K6" s="43" t="s">
        <v>13</v>
      </c>
      <c r="L6" s="45" t="s">
        <v>15</v>
      </c>
      <c r="M6" s="38"/>
      <c r="N6" s="38"/>
      <c r="O6" s="38"/>
      <c r="P6" s="38"/>
    </row>
    <row r="7" spans="1:23" s="5" customFormat="1" ht="199.95" customHeight="1" x14ac:dyDescent="0.3">
      <c r="A7" s="38"/>
      <c r="B7" s="46" t="s">
        <v>16</v>
      </c>
      <c r="C7" s="47" t="s">
        <v>17</v>
      </c>
      <c r="D7" s="47" t="s">
        <v>216</v>
      </c>
      <c r="E7" s="48" t="s">
        <v>18</v>
      </c>
      <c r="F7" s="49" t="s">
        <v>19</v>
      </c>
      <c r="G7" s="50" t="s">
        <v>214</v>
      </c>
      <c r="H7" s="51" t="s">
        <v>20</v>
      </c>
      <c r="I7" s="48" t="s">
        <v>18</v>
      </c>
      <c r="J7" s="52" t="s">
        <v>21</v>
      </c>
      <c r="K7" s="50" t="s">
        <v>214</v>
      </c>
      <c r="L7" s="56" t="str">
        <f t="shared" ref="L7:L23" si="0">IF(OR(K7="ALTO",K7="EXTREMO"),"NO","CONDICIONADO")</f>
        <v>NO</v>
      </c>
      <c r="M7" s="38"/>
      <c r="N7" s="38"/>
      <c r="O7" s="38"/>
      <c r="P7" s="38"/>
    </row>
    <row r="8" spans="1:23" s="5" customFormat="1" ht="144" customHeight="1" x14ac:dyDescent="0.3">
      <c r="A8" s="38"/>
      <c r="B8" s="46" t="s">
        <v>25</v>
      </c>
      <c r="C8" s="47" t="s">
        <v>26</v>
      </c>
      <c r="D8" s="47" t="s">
        <v>27</v>
      </c>
      <c r="E8" s="48" t="s">
        <v>18</v>
      </c>
      <c r="F8" s="52" t="s">
        <v>21</v>
      </c>
      <c r="G8" s="50" t="s">
        <v>214</v>
      </c>
      <c r="H8" s="51" t="s">
        <v>28</v>
      </c>
      <c r="I8" s="53" t="s">
        <v>29</v>
      </c>
      <c r="J8" s="54" t="s">
        <v>23</v>
      </c>
      <c r="K8" s="55" t="s">
        <v>215</v>
      </c>
      <c r="L8" s="56" t="str">
        <f t="shared" si="0"/>
        <v>CONDICIONADO</v>
      </c>
      <c r="M8" s="38"/>
      <c r="N8" s="38"/>
      <c r="O8" s="38"/>
      <c r="P8" s="38"/>
    </row>
    <row r="9" spans="1:23" s="5" customFormat="1" ht="157.94999999999999" customHeight="1" x14ac:dyDescent="0.3">
      <c r="A9" s="38"/>
      <c r="B9" s="46" t="s">
        <v>31</v>
      </c>
      <c r="C9" s="47" t="s">
        <v>32</v>
      </c>
      <c r="D9" s="47" t="s">
        <v>33</v>
      </c>
      <c r="E9" s="48" t="s">
        <v>18</v>
      </c>
      <c r="F9" s="52" t="s">
        <v>21</v>
      </c>
      <c r="G9" s="50" t="s">
        <v>214</v>
      </c>
      <c r="H9" s="51" t="s">
        <v>34</v>
      </c>
      <c r="I9" s="53" t="s">
        <v>29</v>
      </c>
      <c r="J9" s="52" t="s">
        <v>21</v>
      </c>
      <c r="K9" s="55" t="s">
        <v>215</v>
      </c>
      <c r="L9" s="56" t="str">
        <f t="shared" si="0"/>
        <v>CONDICIONADO</v>
      </c>
      <c r="M9" s="38"/>
      <c r="N9" s="38"/>
      <c r="O9" s="38"/>
      <c r="P9" s="38"/>
    </row>
    <row r="10" spans="1:23" s="5" customFormat="1" ht="172.05" customHeight="1" x14ac:dyDescent="0.3">
      <c r="A10" s="38"/>
      <c r="B10" s="46" t="s">
        <v>36</v>
      </c>
      <c r="C10" s="47" t="s">
        <v>37</v>
      </c>
      <c r="D10" s="47" t="s">
        <v>38</v>
      </c>
      <c r="E10" s="48" t="s">
        <v>18</v>
      </c>
      <c r="F10" s="52" t="s">
        <v>21</v>
      </c>
      <c r="G10" s="50" t="s">
        <v>214</v>
      </c>
      <c r="H10" s="51" t="s">
        <v>39</v>
      </c>
      <c r="I10" s="53" t="s">
        <v>29</v>
      </c>
      <c r="J10" s="54" t="s">
        <v>23</v>
      </c>
      <c r="K10" s="55" t="s">
        <v>215</v>
      </c>
      <c r="L10" s="56" t="str">
        <f t="shared" si="0"/>
        <v>CONDICIONADO</v>
      </c>
      <c r="M10" s="38"/>
      <c r="N10" s="38"/>
      <c r="O10" s="38"/>
      <c r="P10" s="38"/>
    </row>
    <row r="11" spans="1:23" s="5" customFormat="1" ht="172.05" customHeight="1" x14ac:dyDescent="0.3">
      <c r="A11" s="38"/>
      <c r="B11" s="46" t="s">
        <v>42</v>
      </c>
      <c r="C11" s="47" t="s">
        <v>43</v>
      </c>
      <c r="D11" s="47" t="s">
        <v>44</v>
      </c>
      <c r="E11" s="48" t="s">
        <v>18</v>
      </c>
      <c r="F11" s="49" t="s">
        <v>19</v>
      </c>
      <c r="G11" s="50" t="s">
        <v>214</v>
      </c>
      <c r="H11" s="51" t="s">
        <v>45</v>
      </c>
      <c r="I11" s="48" t="s">
        <v>18</v>
      </c>
      <c r="J11" s="54" t="s">
        <v>23</v>
      </c>
      <c r="K11" s="55" t="s">
        <v>215</v>
      </c>
      <c r="L11" s="56" t="str">
        <f t="shared" si="0"/>
        <v>CONDICIONADO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</row>
    <row r="12" spans="1:23" s="5" customFormat="1" ht="157.94999999999999" customHeight="1" x14ac:dyDescent="0.3">
      <c r="A12" s="38"/>
      <c r="B12" s="46" t="s">
        <v>46</v>
      </c>
      <c r="C12" s="47" t="s">
        <v>47</v>
      </c>
      <c r="D12" s="47" t="s">
        <v>48</v>
      </c>
      <c r="E12" s="48" t="s">
        <v>18</v>
      </c>
      <c r="F12" s="52" t="s">
        <v>21</v>
      </c>
      <c r="G12" s="50" t="s">
        <v>214</v>
      </c>
      <c r="H12" s="51" t="s">
        <v>49</v>
      </c>
      <c r="I12" s="53" t="s">
        <v>29</v>
      </c>
      <c r="J12" s="52" t="s">
        <v>21</v>
      </c>
      <c r="K12" s="55" t="s">
        <v>215</v>
      </c>
      <c r="L12" s="56" t="str">
        <f t="shared" si="0"/>
        <v>CONDICIONADO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</row>
    <row r="13" spans="1:23" s="5" customFormat="1" ht="144" customHeight="1" x14ac:dyDescent="0.3">
      <c r="A13" s="38"/>
      <c r="B13" s="46" t="s">
        <v>50</v>
      </c>
      <c r="C13" s="47" t="s">
        <v>51</v>
      </c>
      <c r="D13" s="47" t="s">
        <v>52</v>
      </c>
      <c r="E13" s="53" t="s">
        <v>29</v>
      </c>
      <c r="F13" s="49" t="s">
        <v>19</v>
      </c>
      <c r="G13" s="50" t="s">
        <v>214</v>
      </c>
      <c r="H13" s="51" t="s">
        <v>53</v>
      </c>
      <c r="I13" s="53" t="s">
        <v>29</v>
      </c>
      <c r="J13" s="54" t="s">
        <v>23</v>
      </c>
      <c r="K13" s="55" t="s">
        <v>215</v>
      </c>
      <c r="L13" s="56" t="str">
        <f t="shared" si="0"/>
        <v>CONDICIONADO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</row>
    <row r="14" spans="1:23" s="5" customFormat="1" ht="157.94999999999999" customHeight="1" x14ac:dyDescent="0.3">
      <c r="A14" s="38"/>
      <c r="B14" s="46" t="s">
        <v>54</v>
      </c>
      <c r="C14" s="47" t="s">
        <v>55</v>
      </c>
      <c r="D14" s="47" t="s">
        <v>56</v>
      </c>
      <c r="E14" s="48" t="s">
        <v>18</v>
      </c>
      <c r="F14" s="52" t="s">
        <v>21</v>
      </c>
      <c r="G14" s="50" t="s">
        <v>214</v>
      </c>
      <c r="H14" s="51" t="s">
        <v>57</v>
      </c>
      <c r="I14" s="48" t="s">
        <v>18</v>
      </c>
      <c r="J14" s="54" t="s">
        <v>23</v>
      </c>
      <c r="K14" s="55" t="s">
        <v>215</v>
      </c>
      <c r="L14" s="56" t="str">
        <f t="shared" si="0"/>
        <v>CONDICIONADO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</row>
    <row r="15" spans="1:23" s="5" customFormat="1" ht="157.94999999999999" customHeight="1" x14ac:dyDescent="0.3">
      <c r="A15" s="38"/>
      <c r="B15" s="46" t="s">
        <v>58</v>
      </c>
      <c r="C15" s="47" t="s">
        <v>59</v>
      </c>
      <c r="D15" s="47" t="s">
        <v>60</v>
      </c>
      <c r="E15" s="48" t="s">
        <v>18</v>
      </c>
      <c r="F15" s="52" t="s">
        <v>21</v>
      </c>
      <c r="G15" s="50" t="s">
        <v>214</v>
      </c>
      <c r="H15" s="51" t="s">
        <v>61</v>
      </c>
      <c r="I15" s="53" t="s">
        <v>29</v>
      </c>
      <c r="J15" s="54" t="s">
        <v>23</v>
      </c>
      <c r="K15" s="55" t="s">
        <v>215</v>
      </c>
      <c r="L15" s="56" t="str">
        <f t="shared" si="0"/>
        <v>CONDICIONADO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</row>
    <row r="16" spans="1:23" s="5" customFormat="1" ht="130.05000000000001" customHeight="1" x14ac:dyDescent="0.3">
      <c r="A16" s="38"/>
      <c r="B16" s="46" t="s">
        <v>62</v>
      </c>
      <c r="C16" s="47" t="s">
        <v>63</v>
      </c>
      <c r="D16" s="47" t="s">
        <v>64</v>
      </c>
      <c r="E16" s="48" t="s">
        <v>18</v>
      </c>
      <c r="F16" s="52" t="s">
        <v>21</v>
      </c>
      <c r="G16" s="50" t="s">
        <v>214</v>
      </c>
      <c r="H16" s="51" t="s">
        <v>65</v>
      </c>
      <c r="I16" s="53" t="s">
        <v>29</v>
      </c>
      <c r="J16" s="54" t="s">
        <v>23</v>
      </c>
      <c r="K16" s="55" t="s">
        <v>215</v>
      </c>
      <c r="L16" s="56" t="str">
        <f t="shared" si="0"/>
        <v>CONDICIONADO</v>
      </c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</row>
    <row r="17" spans="1:23" s="5" customFormat="1" ht="157.94999999999999" customHeight="1" x14ac:dyDescent="0.3">
      <c r="A17" s="38"/>
      <c r="B17" s="46" t="s">
        <v>66</v>
      </c>
      <c r="C17" s="47" t="s">
        <v>67</v>
      </c>
      <c r="D17" s="47" t="s">
        <v>68</v>
      </c>
      <c r="E17" s="48" t="s">
        <v>18</v>
      </c>
      <c r="F17" s="52" t="s">
        <v>21</v>
      </c>
      <c r="G17" s="50" t="s">
        <v>214</v>
      </c>
      <c r="H17" s="51" t="s">
        <v>69</v>
      </c>
      <c r="I17" s="48" t="s">
        <v>18</v>
      </c>
      <c r="J17" s="54" t="s">
        <v>23</v>
      </c>
      <c r="K17" s="55" t="s">
        <v>215</v>
      </c>
      <c r="L17" s="56" t="str">
        <f t="shared" si="0"/>
        <v>CONDICIONADO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</row>
    <row r="18" spans="1:23" s="5" customFormat="1" ht="186" customHeight="1" x14ac:dyDescent="0.3">
      <c r="A18" s="38"/>
      <c r="B18" s="46" t="s">
        <v>70</v>
      </c>
      <c r="C18" s="47" t="s">
        <v>71</v>
      </c>
      <c r="D18" s="47" t="s">
        <v>72</v>
      </c>
      <c r="E18" s="48" t="s">
        <v>18</v>
      </c>
      <c r="F18" s="52" t="s">
        <v>21</v>
      </c>
      <c r="G18" s="50" t="s">
        <v>214</v>
      </c>
      <c r="H18" s="51" t="s">
        <v>73</v>
      </c>
      <c r="I18" s="48" t="s">
        <v>18</v>
      </c>
      <c r="J18" s="54" t="s">
        <v>23</v>
      </c>
      <c r="K18" s="55" t="s">
        <v>215</v>
      </c>
      <c r="L18" s="56" t="str">
        <f t="shared" si="0"/>
        <v>CONDICIONADO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</row>
    <row r="19" spans="1:23" s="5" customFormat="1" ht="144" customHeight="1" x14ac:dyDescent="0.3">
      <c r="A19" s="38"/>
      <c r="B19" s="46" t="s">
        <v>74</v>
      </c>
      <c r="C19" s="47" t="s">
        <v>75</v>
      </c>
      <c r="D19" s="47" t="s">
        <v>76</v>
      </c>
      <c r="E19" s="53" t="s">
        <v>29</v>
      </c>
      <c r="F19" s="49" t="s">
        <v>19</v>
      </c>
      <c r="G19" s="50" t="s">
        <v>214</v>
      </c>
      <c r="H19" s="51" t="s">
        <v>77</v>
      </c>
      <c r="I19" s="53" t="s">
        <v>29</v>
      </c>
      <c r="J19" s="54" t="s">
        <v>23</v>
      </c>
      <c r="K19" s="55" t="s">
        <v>215</v>
      </c>
      <c r="L19" s="56" t="str">
        <f t="shared" si="0"/>
        <v>CONDICIONADO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</row>
    <row r="20" spans="1:23" s="5" customFormat="1" ht="144" customHeight="1" x14ac:dyDescent="0.3">
      <c r="A20" s="38"/>
      <c r="B20" s="46" t="s">
        <v>78</v>
      </c>
      <c r="C20" s="47" t="s">
        <v>79</v>
      </c>
      <c r="D20" s="47" t="s">
        <v>80</v>
      </c>
      <c r="E20" s="53" t="s">
        <v>29</v>
      </c>
      <c r="F20" s="52" t="s">
        <v>21</v>
      </c>
      <c r="G20" s="55" t="s">
        <v>215</v>
      </c>
      <c r="H20" s="51" t="s">
        <v>81</v>
      </c>
      <c r="I20" s="53" t="s">
        <v>29</v>
      </c>
      <c r="J20" s="54" t="s">
        <v>23</v>
      </c>
      <c r="K20" s="55" t="s">
        <v>215</v>
      </c>
      <c r="L20" s="56" t="str">
        <f t="shared" si="0"/>
        <v>CONDICIONADO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</row>
    <row r="21" spans="1:23" s="5" customFormat="1" ht="199.95" customHeight="1" x14ac:dyDescent="0.3">
      <c r="A21" s="38"/>
      <c r="B21" s="46" t="s">
        <v>82</v>
      </c>
      <c r="C21" s="47" t="s">
        <v>83</v>
      </c>
      <c r="D21" s="47" t="s">
        <v>84</v>
      </c>
      <c r="E21" s="48" t="s">
        <v>18</v>
      </c>
      <c r="F21" s="52" t="s">
        <v>21</v>
      </c>
      <c r="G21" s="50" t="s">
        <v>214</v>
      </c>
      <c r="H21" s="51" t="s">
        <v>85</v>
      </c>
      <c r="I21" s="53" t="s">
        <v>29</v>
      </c>
      <c r="J21" s="52" t="s">
        <v>21</v>
      </c>
      <c r="K21" s="55" t="s">
        <v>215</v>
      </c>
      <c r="L21" s="56" t="str">
        <f>IF(OR(K21="ALTO",K21="EXTREMO"),"NO","CONDICIONADO")</f>
        <v>CONDICIONADO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</row>
    <row r="22" spans="1:23" s="5" customFormat="1" ht="157.94999999999999" customHeight="1" x14ac:dyDescent="0.3">
      <c r="A22" s="38"/>
      <c r="B22" s="46" t="s">
        <v>86</v>
      </c>
      <c r="C22" s="47" t="s">
        <v>87</v>
      </c>
      <c r="D22" s="47" t="s">
        <v>88</v>
      </c>
      <c r="E22" s="48" t="s">
        <v>18</v>
      </c>
      <c r="F22" s="52" t="s">
        <v>21</v>
      </c>
      <c r="G22" s="50" t="s">
        <v>214</v>
      </c>
      <c r="H22" s="51" t="s">
        <v>89</v>
      </c>
      <c r="I22" s="53" t="s">
        <v>29</v>
      </c>
      <c r="J22" s="52" t="s">
        <v>21</v>
      </c>
      <c r="K22" s="55" t="s">
        <v>215</v>
      </c>
      <c r="L22" s="56" t="str">
        <f t="shared" si="0"/>
        <v>CONDICIONADO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</row>
    <row r="23" spans="1:23" s="5" customFormat="1" ht="172.05" customHeight="1" thickBot="1" x14ac:dyDescent="0.35">
      <c r="A23" s="38"/>
      <c r="B23" s="57" t="s">
        <v>90</v>
      </c>
      <c r="C23" s="58" t="s">
        <v>91</v>
      </c>
      <c r="D23" s="58" t="s">
        <v>92</v>
      </c>
      <c r="E23" s="59" t="s">
        <v>18</v>
      </c>
      <c r="F23" s="60" t="s">
        <v>19</v>
      </c>
      <c r="G23" s="50" t="s">
        <v>214</v>
      </c>
      <c r="H23" s="61" t="s">
        <v>93</v>
      </c>
      <c r="I23" s="59" t="s">
        <v>18</v>
      </c>
      <c r="J23" s="62" t="s">
        <v>23</v>
      </c>
      <c r="K23" s="55" t="s">
        <v>215</v>
      </c>
      <c r="L23" s="63" t="str">
        <f t="shared" si="0"/>
        <v>CONDICIONADO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</row>
    <row r="24" spans="1:23" ht="15.75" customHeight="1" thickTop="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</row>
  </sheetData>
  <autoFilter ref="B6:L23" xr:uid="{00000000-0009-0000-0000-000000000000}"/>
  <mergeCells count="5">
    <mergeCell ref="I3:K3"/>
    <mergeCell ref="I2:K2"/>
    <mergeCell ref="E5:G5"/>
    <mergeCell ref="I5:K5"/>
    <mergeCell ref="C3:H3"/>
  </mergeCells>
  <conditionalFormatting sqref="E7:E23">
    <cfRule type="cellIs" dxfId="24" priority="11" stopIfTrue="1" operator="equal">
      <formula>"INTOLERABLE"</formula>
    </cfRule>
    <cfRule type="cellIs" dxfId="23" priority="13" stopIfTrue="1" operator="equal">
      <formula>"INDESEABLE"</formula>
    </cfRule>
    <cfRule type="cellIs" dxfId="22" priority="15" stopIfTrue="1" operator="equal">
      <formula>"TOLERABLE"</formula>
    </cfRule>
    <cfRule type="cellIs" dxfId="21" priority="17" stopIfTrue="1" operator="equal">
      <formula>"ACEPTABLE"</formula>
    </cfRule>
  </conditionalFormatting>
  <conditionalFormatting sqref="F7:F23">
    <cfRule type="cellIs" dxfId="20" priority="19" stopIfTrue="1" operator="equal">
      <formula>"POSIBLE"</formula>
    </cfRule>
    <cfRule type="cellIs" dxfId="19" priority="21" stopIfTrue="1" operator="equal">
      <formula>"IMPROBABLE"</formula>
    </cfRule>
    <cfRule type="cellIs" dxfId="18" priority="23" stopIfTrue="1" operator="equal">
      <formula>"PROBABLE"</formula>
    </cfRule>
  </conditionalFormatting>
  <conditionalFormatting sqref="G7:G23">
    <cfRule type="cellIs" dxfId="17" priority="25" stopIfTrue="1" operator="equal">
      <formula>"BAJO"</formula>
    </cfRule>
    <cfRule type="cellIs" dxfId="16" priority="27" stopIfTrue="1" operator="equal">
      <formula>"MEDIO"</formula>
    </cfRule>
    <cfRule type="cellIs" dxfId="15" priority="29" stopIfTrue="1" operator="equal">
      <formula>"ALTO"</formula>
    </cfRule>
    <cfRule type="cellIs" dxfId="14" priority="31" stopIfTrue="1" operator="equal">
      <formula>"EXTREMO"</formula>
    </cfRule>
  </conditionalFormatting>
  <conditionalFormatting sqref="I7:I23">
    <cfRule type="cellIs" dxfId="13" priority="12" stopIfTrue="1" operator="equal">
      <formula>"INTOLERABLE"</formula>
    </cfRule>
    <cfRule type="cellIs" dxfId="12" priority="14" stopIfTrue="1" operator="equal">
      <formula>"INDESEABLE"</formula>
    </cfRule>
    <cfRule type="cellIs" dxfId="11" priority="16" stopIfTrue="1" operator="equal">
      <formula>"TOLERABLE"</formula>
    </cfRule>
    <cfRule type="cellIs" dxfId="10" priority="18" stopIfTrue="1" operator="equal">
      <formula>"ACEPTABLE"</formula>
    </cfRule>
  </conditionalFormatting>
  <conditionalFormatting sqref="J7:J23">
    <cfRule type="cellIs" dxfId="9" priority="20" stopIfTrue="1" operator="equal">
      <formula>"POSIBLE"</formula>
    </cfRule>
    <cfRule type="cellIs" dxfId="8" priority="22" stopIfTrue="1" operator="equal">
      <formula>"IMPROBABLE"</formula>
    </cfRule>
    <cfRule type="cellIs" dxfId="7" priority="24" stopIfTrue="1" operator="equal">
      <formula>"PROBABLE"</formula>
    </cfRule>
  </conditionalFormatting>
  <conditionalFormatting sqref="K7:K23">
    <cfRule type="cellIs" dxfId="6" priority="26" stopIfTrue="1" operator="equal">
      <formula>"BAJO"</formula>
    </cfRule>
    <cfRule type="cellIs" dxfId="5" priority="28" stopIfTrue="1" operator="equal">
      <formula>"MEDIO"</formula>
    </cfRule>
    <cfRule type="cellIs" dxfId="4" priority="30" stopIfTrue="1" operator="equal">
      <formula>"ALTO"</formula>
    </cfRule>
    <cfRule type="cellIs" dxfId="3" priority="32" stopIfTrue="1" operator="equal">
      <formula>"EXTREMO"</formula>
    </cfRule>
  </conditionalFormatting>
  <conditionalFormatting sqref="L7:L23">
    <cfRule type="cellIs" dxfId="2" priority="33" stopIfTrue="1" operator="equal">
      <formula>"NO"</formula>
    </cfRule>
    <cfRule type="cellIs" dxfId="1" priority="34" stopIfTrue="1" operator="equal">
      <formula>"SÍ"</formula>
    </cfRule>
    <cfRule type="cellIs" dxfId="0" priority="35" stopIfTrue="1" operator="equal">
      <formula>"CONDICIONADO"</formula>
    </cfRule>
  </conditionalFormatting>
  <dataValidations count="1">
    <dataValidation type="list" showErrorMessage="1" errorTitle="Valor no permitido" error="Seleccione una categoría de la escala de la plantilla." sqref="E7:F23 I7:J23" xr:uid="{00000000-0002-0000-0000-000000000000}">
      <formula1>#REF!</formula1>
    </dataValidation>
  </dataValidations>
  <pageMargins left="0.4" right="0.4" top="0.4" bottom="0.4" header="0" footer="0"/>
  <pageSetup paperSize="8" fitToHeight="0" orientation="landscape" verticalDpi="0"/>
  <headerFooter>
    <oddFooter>&amp;CFarmaps | Evaluación inicial | Página &amp;P de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D9" sqref="D9"/>
    </sheetView>
  </sheetViews>
  <sheetFormatPr baseColWidth="10" defaultColWidth="8.88671875" defaultRowHeight="14.4" x14ac:dyDescent="0.3"/>
  <cols>
    <col min="1" max="1" width="3.33203125" customWidth="1"/>
    <col min="2" max="2" width="5.44140625" customWidth="1"/>
    <col min="3" max="3" width="18.88671875" customWidth="1"/>
    <col min="4" max="7" width="27" customWidth="1"/>
    <col min="8" max="8" width="3.33203125" customWidth="1"/>
  </cols>
  <sheetData>
    <row r="1" spans="2:7" x14ac:dyDescent="0.3">
      <c r="B1" s="3"/>
      <c r="C1" s="3"/>
      <c r="D1" s="3"/>
      <c r="E1" s="3"/>
      <c r="F1" s="3"/>
      <c r="G1" s="3"/>
    </row>
    <row r="2" spans="2:7" ht="44.1" customHeight="1" x14ac:dyDescent="0.3">
      <c r="B2" s="75" t="s">
        <v>94</v>
      </c>
      <c r="C2" s="76"/>
      <c r="D2" s="15" t="s">
        <v>24</v>
      </c>
      <c r="E2" s="22" t="s">
        <v>30</v>
      </c>
      <c r="F2" s="17" t="s">
        <v>35</v>
      </c>
      <c r="G2" s="13" t="s">
        <v>41</v>
      </c>
    </row>
    <row r="3" spans="2:7" ht="45.9" customHeight="1" x14ac:dyDescent="0.3">
      <c r="B3" s="76"/>
      <c r="C3" s="76"/>
      <c r="D3" s="16" t="s">
        <v>22</v>
      </c>
      <c r="E3" s="23" t="s">
        <v>95</v>
      </c>
      <c r="F3" s="18" t="s">
        <v>96</v>
      </c>
      <c r="G3" s="14" t="s">
        <v>40</v>
      </c>
    </row>
    <row r="4" spans="2:7" s="4" customFormat="1" ht="9" customHeight="1" x14ac:dyDescent="0.3">
      <c r="B4" s="77"/>
      <c r="C4" s="77"/>
      <c r="D4" s="19"/>
      <c r="E4" s="24"/>
      <c r="F4" s="20"/>
      <c r="G4" s="21"/>
    </row>
    <row r="5" spans="2:7" s="4" customFormat="1" ht="43.5" customHeight="1" thickBot="1" x14ac:dyDescent="0.35">
      <c r="B5" s="77"/>
      <c r="C5" s="77"/>
      <c r="D5" s="31" t="s">
        <v>97</v>
      </c>
      <c r="E5" s="32" t="s">
        <v>98</v>
      </c>
      <c r="F5" s="33" t="s">
        <v>99</v>
      </c>
      <c r="G5" s="34" t="s">
        <v>100</v>
      </c>
    </row>
    <row r="6" spans="2:7" ht="16.5" customHeight="1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35">
      <c r="B7" s="78"/>
      <c r="C7" s="79"/>
      <c r="D7" s="85" t="s">
        <v>101</v>
      </c>
      <c r="E7" s="86"/>
      <c r="F7" s="86"/>
      <c r="G7" s="86"/>
    </row>
    <row r="8" spans="2:7" ht="50.1" customHeight="1" x14ac:dyDescent="0.3">
      <c r="B8" s="76"/>
      <c r="C8" s="79"/>
      <c r="D8" s="7" t="s">
        <v>102</v>
      </c>
      <c r="E8" s="8" t="s">
        <v>103</v>
      </c>
      <c r="F8" s="8" t="s">
        <v>104</v>
      </c>
      <c r="G8" s="8" t="s">
        <v>105</v>
      </c>
    </row>
    <row r="9" spans="2:7" ht="65.099999999999994" customHeight="1" x14ac:dyDescent="0.3">
      <c r="B9" s="80"/>
      <c r="C9" s="81"/>
      <c r="D9" s="11" t="s">
        <v>106</v>
      </c>
      <c r="E9" s="12" t="s">
        <v>107</v>
      </c>
      <c r="F9" s="12" t="s">
        <v>108</v>
      </c>
      <c r="G9" s="12" t="s">
        <v>109</v>
      </c>
    </row>
    <row r="10" spans="2:7" ht="50.1" customHeight="1" x14ac:dyDescent="0.3">
      <c r="B10" s="87" t="s">
        <v>110</v>
      </c>
      <c r="C10" s="9" t="s">
        <v>111</v>
      </c>
      <c r="D10" s="89" t="s">
        <v>24</v>
      </c>
      <c r="E10" s="90" t="s">
        <v>30</v>
      </c>
      <c r="F10" s="90" t="s">
        <v>30</v>
      </c>
      <c r="G10" s="82" t="s">
        <v>35</v>
      </c>
    </row>
    <row r="11" spans="2:7" ht="50.1" customHeight="1" x14ac:dyDescent="0.3">
      <c r="B11" s="88"/>
      <c r="C11" s="11" t="s">
        <v>112</v>
      </c>
      <c r="D11" s="83"/>
      <c r="E11" s="83"/>
      <c r="F11" s="83"/>
      <c r="G11" s="83"/>
    </row>
    <row r="12" spans="2:7" ht="50.1" customHeight="1" x14ac:dyDescent="0.3">
      <c r="B12" s="88"/>
      <c r="C12" s="10" t="s">
        <v>113</v>
      </c>
      <c r="D12" s="89" t="s">
        <v>24</v>
      </c>
      <c r="E12" s="90" t="s">
        <v>30</v>
      </c>
      <c r="F12" s="82" t="s">
        <v>35</v>
      </c>
      <c r="G12" s="84" t="s">
        <v>41</v>
      </c>
    </row>
    <row r="13" spans="2:7" s="2" customFormat="1" ht="50.1" customHeight="1" x14ac:dyDescent="0.3">
      <c r="B13" s="88"/>
      <c r="C13" s="11" t="s">
        <v>114</v>
      </c>
      <c r="D13" s="83"/>
      <c r="E13" s="83"/>
      <c r="F13" s="83"/>
      <c r="G13" s="83"/>
    </row>
    <row r="14" spans="2:7" s="2" customFormat="1" ht="50.1" customHeight="1" x14ac:dyDescent="0.3">
      <c r="B14" s="88"/>
      <c r="C14" s="10" t="s">
        <v>115</v>
      </c>
      <c r="D14" s="90" t="s">
        <v>30</v>
      </c>
      <c r="E14" s="82" t="s">
        <v>35</v>
      </c>
      <c r="F14" s="82" t="s">
        <v>35</v>
      </c>
      <c r="G14" s="84" t="s">
        <v>41</v>
      </c>
    </row>
    <row r="15" spans="2:7" s="2" customFormat="1" ht="50.1" customHeight="1" x14ac:dyDescent="0.3">
      <c r="B15" s="88"/>
      <c r="C15" s="11" t="s">
        <v>116</v>
      </c>
      <c r="D15" s="83"/>
      <c r="E15" s="83"/>
      <c r="F15" s="83"/>
      <c r="G15" s="83"/>
    </row>
    <row r="16" spans="2:7" ht="39.9" customHeight="1" x14ac:dyDescent="0.3">
      <c r="B16" s="1"/>
      <c r="C16" s="1"/>
      <c r="D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</sheetData>
  <mergeCells count="16">
    <mergeCell ref="B2:C5"/>
    <mergeCell ref="B7:C9"/>
    <mergeCell ref="F12:F13"/>
    <mergeCell ref="G12:G13"/>
    <mergeCell ref="D7:G7"/>
    <mergeCell ref="B10:B15"/>
    <mergeCell ref="D12:D13"/>
    <mergeCell ref="F10:F11"/>
    <mergeCell ref="D14:D15"/>
    <mergeCell ref="G10:G11"/>
    <mergeCell ref="G14:G15"/>
    <mergeCell ref="E14:E15"/>
    <mergeCell ref="E10:E11"/>
    <mergeCell ref="D10:D11"/>
    <mergeCell ref="F14:F15"/>
    <mergeCell ref="E12:E13"/>
  </mergeCells>
  <pageMargins left="0.7" right="0.7" top="0.75" bottom="0.75" header="0.3" footer="0.3"/>
  <pageSetup paperSize="9" scale="54"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26" customWidth="1"/>
    <col min="3" max="3" width="42" customWidth="1"/>
    <col min="4" max="5" width="52" customWidth="1"/>
    <col min="6" max="6" width="28" customWidth="1"/>
    <col min="7" max="7" width="23" customWidth="1"/>
  </cols>
  <sheetData>
    <row r="1" spans="1:7" ht="34.049999999999997" customHeight="1" x14ac:dyDescent="0.3">
      <c r="A1" s="35" t="s">
        <v>117</v>
      </c>
      <c r="B1" s="35" t="s">
        <v>118</v>
      </c>
      <c r="C1" s="35" t="s">
        <v>119</v>
      </c>
      <c r="D1" s="35" t="s">
        <v>120</v>
      </c>
      <c r="E1" s="35" t="s">
        <v>121</v>
      </c>
      <c r="F1" s="35" t="s">
        <v>122</v>
      </c>
      <c r="G1" s="35" t="s">
        <v>123</v>
      </c>
    </row>
    <row r="2" spans="1:7" ht="120" customHeight="1" x14ac:dyDescent="0.3">
      <c r="A2" s="36" t="s">
        <v>16</v>
      </c>
      <c r="B2" s="36" t="s">
        <v>5</v>
      </c>
      <c r="C2" s="36" t="s">
        <v>124</v>
      </c>
      <c r="D2" s="36" t="s">
        <v>125</v>
      </c>
      <c r="E2" s="36" t="s">
        <v>126</v>
      </c>
      <c r="F2" s="36" t="s">
        <v>127</v>
      </c>
      <c r="G2" s="36" t="s">
        <v>128</v>
      </c>
    </row>
    <row r="3" spans="1:7" ht="120" customHeight="1" x14ac:dyDescent="0.3">
      <c r="A3" s="37" t="s">
        <v>25</v>
      </c>
      <c r="B3" s="37" t="s">
        <v>5</v>
      </c>
      <c r="C3" s="37" t="s">
        <v>129</v>
      </c>
      <c r="D3" s="37" t="s">
        <v>130</v>
      </c>
      <c r="E3" s="37" t="s">
        <v>131</v>
      </c>
      <c r="F3" s="37" t="s">
        <v>127</v>
      </c>
      <c r="G3" s="37" t="s">
        <v>128</v>
      </c>
    </row>
    <row r="4" spans="1:7" ht="120" customHeight="1" x14ac:dyDescent="0.3">
      <c r="A4" s="36" t="s">
        <v>31</v>
      </c>
      <c r="B4" s="36" t="s">
        <v>5</v>
      </c>
      <c r="C4" s="36" t="s">
        <v>132</v>
      </c>
      <c r="D4" s="36" t="s">
        <v>133</v>
      </c>
      <c r="E4" s="36" t="s">
        <v>134</v>
      </c>
      <c r="F4" s="36" t="s">
        <v>127</v>
      </c>
      <c r="G4" s="36" t="s">
        <v>128</v>
      </c>
    </row>
    <row r="5" spans="1:7" ht="120" customHeight="1" x14ac:dyDescent="0.3">
      <c r="A5" s="37" t="s">
        <v>36</v>
      </c>
      <c r="B5" s="37" t="s">
        <v>5</v>
      </c>
      <c r="C5" s="37" t="s">
        <v>135</v>
      </c>
      <c r="D5" s="37" t="s">
        <v>136</v>
      </c>
      <c r="E5" s="37" t="s">
        <v>137</v>
      </c>
      <c r="F5" s="37" t="s">
        <v>127</v>
      </c>
      <c r="G5" s="37" t="s">
        <v>128</v>
      </c>
    </row>
    <row r="6" spans="1:7" ht="120" customHeight="1" x14ac:dyDescent="0.3">
      <c r="A6" s="36" t="s">
        <v>42</v>
      </c>
      <c r="B6" s="36" t="s">
        <v>5</v>
      </c>
      <c r="C6" s="36" t="s">
        <v>138</v>
      </c>
      <c r="D6" s="36" t="s">
        <v>139</v>
      </c>
      <c r="E6" s="36" t="s">
        <v>140</v>
      </c>
      <c r="F6" s="36" t="s">
        <v>127</v>
      </c>
      <c r="G6" s="36" t="s">
        <v>128</v>
      </c>
    </row>
    <row r="7" spans="1:7" ht="120" customHeight="1" x14ac:dyDescent="0.3">
      <c r="A7" s="37" t="s">
        <v>46</v>
      </c>
      <c r="B7" s="37" t="s">
        <v>5</v>
      </c>
      <c r="C7" s="37" t="s">
        <v>141</v>
      </c>
      <c r="D7" s="37" t="s">
        <v>142</v>
      </c>
      <c r="E7" s="37" t="s">
        <v>143</v>
      </c>
      <c r="F7" s="37" t="s">
        <v>127</v>
      </c>
      <c r="G7" s="37" t="s">
        <v>128</v>
      </c>
    </row>
    <row r="8" spans="1:7" ht="120" customHeight="1" x14ac:dyDescent="0.3">
      <c r="A8" s="36" t="s">
        <v>50</v>
      </c>
      <c r="B8" s="36" t="s">
        <v>5</v>
      </c>
      <c r="C8" s="36" t="s">
        <v>144</v>
      </c>
      <c r="D8" s="36" t="s">
        <v>145</v>
      </c>
      <c r="E8" s="36" t="s">
        <v>146</v>
      </c>
      <c r="F8" s="36" t="s">
        <v>127</v>
      </c>
      <c r="G8" s="36" t="s">
        <v>128</v>
      </c>
    </row>
    <row r="9" spans="1:7" ht="120" customHeight="1" x14ac:dyDescent="0.3">
      <c r="A9" s="37" t="s">
        <v>54</v>
      </c>
      <c r="B9" s="37" t="s">
        <v>5</v>
      </c>
      <c r="C9" s="37" t="s">
        <v>147</v>
      </c>
      <c r="D9" s="37" t="s">
        <v>148</v>
      </c>
      <c r="E9" s="37" t="s">
        <v>149</v>
      </c>
      <c r="F9" s="37" t="s">
        <v>127</v>
      </c>
      <c r="G9" s="37" t="s">
        <v>128</v>
      </c>
    </row>
    <row r="10" spans="1:7" ht="120" customHeight="1" x14ac:dyDescent="0.3">
      <c r="A10" s="36" t="s">
        <v>58</v>
      </c>
      <c r="B10" s="36" t="s">
        <v>5</v>
      </c>
      <c r="C10" s="36" t="s">
        <v>150</v>
      </c>
      <c r="D10" s="36" t="s">
        <v>151</v>
      </c>
      <c r="E10" s="36" t="s">
        <v>152</v>
      </c>
      <c r="F10" s="36" t="s">
        <v>127</v>
      </c>
      <c r="G10" s="36" t="s">
        <v>128</v>
      </c>
    </row>
    <row r="11" spans="1:7" ht="120" customHeight="1" x14ac:dyDescent="0.3">
      <c r="A11" s="37" t="s">
        <v>62</v>
      </c>
      <c r="B11" s="37" t="s">
        <v>5</v>
      </c>
      <c r="C11" s="37" t="s">
        <v>153</v>
      </c>
      <c r="D11" s="37" t="s">
        <v>154</v>
      </c>
      <c r="E11" s="37" t="s">
        <v>155</v>
      </c>
      <c r="F11" s="37" t="s">
        <v>127</v>
      </c>
      <c r="G11" s="37" t="s">
        <v>128</v>
      </c>
    </row>
    <row r="12" spans="1:7" ht="120" customHeight="1" x14ac:dyDescent="0.3">
      <c r="A12" s="36" t="s">
        <v>66</v>
      </c>
      <c r="B12" s="36" t="s">
        <v>5</v>
      </c>
      <c r="C12" s="36" t="s">
        <v>156</v>
      </c>
      <c r="D12" s="36" t="s">
        <v>157</v>
      </c>
      <c r="E12" s="36" t="s">
        <v>158</v>
      </c>
      <c r="F12" s="36" t="s">
        <v>127</v>
      </c>
      <c r="G12" s="36" t="s">
        <v>128</v>
      </c>
    </row>
    <row r="13" spans="1:7" ht="120" customHeight="1" x14ac:dyDescent="0.3">
      <c r="A13" s="37" t="s">
        <v>70</v>
      </c>
      <c r="B13" s="37" t="s">
        <v>5</v>
      </c>
      <c r="C13" s="37" t="s">
        <v>159</v>
      </c>
      <c r="D13" s="37" t="s">
        <v>160</v>
      </c>
      <c r="E13" s="37" t="s">
        <v>161</v>
      </c>
      <c r="F13" s="37" t="s">
        <v>127</v>
      </c>
      <c r="G13" s="37" t="s">
        <v>128</v>
      </c>
    </row>
    <row r="14" spans="1:7" ht="120" customHeight="1" x14ac:dyDescent="0.3">
      <c r="A14" s="36" t="s">
        <v>74</v>
      </c>
      <c r="B14" s="36" t="s">
        <v>5</v>
      </c>
      <c r="C14" s="36" t="s">
        <v>162</v>
      </c>
      <c r="D14" s="36" t="s">
        <v>163</v>
      </c>
      <c r="E14" s="36" t="s">
        <v>164</v>
      </c>
      <c r="F14" s="36" t="s">
        <v>127</v>
      </c>
      <c r="G14" s="36" t="s">
        <v>128</v>
      </c>
    </row>
    <row r="15" spans="1:7" ht="120" customHeight="1" x14ac:dyDescent="0.3">
      <c r="A15" s="37" t="s">
        <v>78</v>
      </c>
      <c r="B15" s="37" t="s">
        <v>5</v>
      </c>
      <c r="C15" s="37" t="s">
        <v>165</v>
      </c>
      <c r="D15" s="37" t="s">
        <v>166</v>
      </c>
      <c r="E15" s="37" t="s">
        <v>167</v>
      </c>
      <c r="F15" s="37" t="s">
        <v>127</v>
      </c>
      <c r="G15" s="37" t="s">
        <v>128</v>
      </c>
    </row>
    <row r="16" spans="1:7" ht="120" customHeight="1" x14ac:dyDescent="0.3">
      <c r="A16" s="36" t="s">
        <v>82</v>
      </c>
      <c r="B16" s="36" t="s">
        <v>5</v>
      </c>
      <c r="C16" s="36" t="s">
        <v>168</v>
      </c>
      <c r="D16" s="36" t="s">
        <v>169</v>
      </c>
      <c r="E16" s="36" t="s">
        <v>170</v>
      </c>
      <c r="F16" s="36" t="s">
        <v>127</v>
      </c>
      <c r="G16" s="36" t="s">
        <v>128</v>
      </c>
    </row>
    <row r="17" spans="1:7" ht="120" customHeight="1" x14ac:dyDescent="0.3">
      <c r="A17" s="37" t="s">
        <v>86</v>
      </c>
      <c r="B17" s="37" t="s">
        <v>5</v>
      </c>
      <c r="C17" s="37" t="s">
        <v>171</v>
      </c>
      <c r="D17" s="37" t="s">
        <v>172</v>
      </c>
      <c r="E17" s="37" t="s">
        <v>173</v>
      </c>
      <c r="F17" s="37" t="s">
        <v>127</v>
      </c>
      <c r="G17" s="37" t="s">
        <v>128</v>
      </c>
    </row>
    <row r="18" spans="1:7" ht="120" customHeight="1" x14ac:dyDescent="0.3">
      <c r="A18" s="36" t="s">
        <v>90</v>
      </c>
      <c r="B18" s="36" t="s">
        <v>5</v>
      </c>
      <c r="C18" s="36" t="s">
        <v>174</v>
      </c>
      <c r="D18" s="36" t="s">
        <v>175</v>
      </c>
      <c r="E18" s="36" t="s">
        <v>176</v>
      </c>
      <c r="F18" s="36" t="s">
        <v>127</v>
      </c>
      <c r="G18" s="36" t="s">
        <v>128</v>
      </c>
    </row>
  </sheetData>
  <autoFilter ref="A1:G18" xr:uid="{00000000-0009-0000-0000-000002000000}"/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5" customWidth="1"/>
    <col min="2" max="2" width="120" customWidth="1"/>
  </cols>
  <sheetData>
    <row r="1" spans="1:2" ht="34.049999999999997" customHeight="1" x14ac:dyDescent="0.3">
      <c r="A1" s="35" t="s">
        <v>177</v>
      </c>
      <c r="B1" s="35" t="s">
        <v>178</v>
      </c>
    </row>
    <row r="2" spans="1:2" ht="82.05" customHeight="1" x14ac:dyDescent="0.3">
      <c r="A2" s="36" t="s">
        <v>179</v>
      </c>
      <c r="B2" s="36" t="s">
        <v>180</v>
      </c>
    </row>
    <row r="3" spans="1:2" ht="82.05" customHeight="1" x14ac:dyDescent="0.3">
      <c r="A3" s="37" t="s">
        <v>181</v>
      </c>
      <c r="B3" s="37" t="s">
        <v>182</v>
      </c>
    </row>
    <row r="4" spans="1:2" ht="82.05" customHeight="1" x14ac:dyDescent="0.3">
      <c r="A4" s="36" t="s">
        <v>183</v>
      </c>
      <c r="B4" s="36" t="s">
        <v>184</v>
      </c>
    </row>
    <row r="5" spans="1:2" ht="82.05" customHeight="1" x14ac:dyDescent="0.3">
      <c r="A5" s="37" t="s">
        <v>185</v>
      </c>
      <c r="B5" s="37" t="s">
        <v>186</v>
      </c>
    </row>
    <row r="6" spans="1:2" ht="82.05" customHeight="1" x14ac:dyDescent="0.3">
      <c r="A6" s="36" t="s">
        <v>187</v>
      </c>
      <c r="B6" s="36" t="s">
        <v>188</v>
      </c>
    </row>
    <row r="7" spans="1:2" ht="82.05" customHeight="1" x14ac:dyDescent="0.3">
      <c r="A7" s="37" t="s">
        <v>189</v>
      </c>
      <c r="B7" s="37" t="s">
        <v>190</v>
      </c>
    </row>
    <row r="8" spans="1:2" ht="82.05" customHeight="1" x14ac:dyDescent="0.3">
      <c r="A8" s="36" t="s">
        <v>191</v>
      </c>
      <c r="B8" s="36" t="s">
        <v>192</v>
      </c>
    </row>
    <row r="9" spans="1:2" ht="82.05" customHeight="1" x14ac:dyDescent="0.3">
      <c r="A9" s="37" t="s">
        <v>193</v>
      </c>
      <c r="B9" s="37" t="s">
        <v>194</v>
      </c>
    </row>
    <row r="10" spans="1:2" ht="82.05" customHeight="1" x14ac:dyDescent="0.3">
      <c r="A10" s="36" t="s">
        <v>195</v>
      </c>
      <c r="B10" s="36" t="s">
        <v>196</v>
      </c>
    </row>
    <row r="11" spans="1:2" ht="82.05" customHeight="1" x14ac:dyDescent="0.3">
      <c r="A11" s="37" t="s">
        <v>197</v>
      </c>
      <c r="B11" s="37" t="s">
        <v>198</v>
      </c>
    </row>
    <row r="12" spans="1:2" ht="82.05" customHeight="1" x14ac:dyDescent="0.3">
      <c r="A12" s="36" t="s">
        <v>199</v>
      </c>
      <c r="B12" s="36" t="s">
        <v>200</v>
      </c>
    </row>
    <row r="13" spans="1:2" ht="82.05" customHeight="1" x14ac:dyDescent="0.3">
      <c r="A13" s="37" t="s">
        <v>201</v>
      </c>
      <c r="B13" s="37" t="s">
        <v>202</v>
      </c>
    </row>
    <row r="14" spans="1:2" ht="82.05" customHeight="1" x14ac:dyDescent="0.3">
      <c r="A14" s="36" t="s">
        <v>203</v>
      </c>
      <c r="B14" s="36" t="s">
        <v>204</v>
      </c>
    </row>
    <row r="15" spans="1:2" ht="82.05" customHeight="1" x14ac:dyDescent="0.3">
      <c r="A15" s="37" t="s">
        <v>205</v>
      </c>
      <c r="B15" s="37" t="s">
        <v>206</v>
      </c>
    </row>
    <row r="16" spans="1:2" ht="82.05" customHeight="1" x14ac:dyDescent="0.3">
      <c r="A16" s="36" t="s">
        <v>207</v>
      </c>
      <c r="B16" s="36" t="s">
        <v>208</v>
      </c>
    </row>
    <row r="17" spans="1:2" ht="82.05" customHeight="1" x14ac:dyDescent="0.3">
      <c r="A17" s="37" t="s">
        <v>209</v>
      </c>
      <c r="B17" s="37" t="s">
        <v>210</v>
      </c>
    </row>
    <row r="18" spans="1:2" ht="82.05" customHeight="1" x14ac:dyDescent="0.3">
      <c r="A18" s="36" t="s">
        <v>211</v>
      </c>
      <c r="B18" s="36" t="s">
        <v>212</v>
      </c>
    </row>
  </sheetData>
  <autoFilter ref="A1:B18" xr:uid="{00000000-0009-0000-0000-000003000000}"/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Evaluación de riesgos</vt:lpstr>
      <vt:lpstr>Matriz de riesgos</vt:lpstr>
      <vt:lpstr>Seguimiento</vt:lpstr>
      <vt:lpstr>Criterios y resumen</vt:lpstr>
      <vt:lpstr>'Criterios y resumen'!Área_de_impresión</vt:lpstr>
      <vt:lpstr>'Evaluación de riesgos'!Área_de_impresión</vt:lpstr>
      <vt:lpstr>'Matriz de riesgos'!Área_de_impresión</vt:lpstr>
      <vt:lpstr>Seguimiento!Área_de_impresión</vt:lpstr>
      <vt:lpstr>'Criterios y resumen'!Títulos_a_imprimir</vt:lpstr>
      <vt:lpstr>'Evaluación de riesgos'!Títulos_a_imprimir</vt:lpstr>
      <vt:lpstr>Seguimiento!Títulos_a_imprimir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Evaluación de Riesgos del Proyecto — Farmaps</dc:title>
  <dc:creator>Juan David Cardozo Prada</dc:creator>
  <dc:description>17 riesgos con evaluación cualitativa inicial, residual estimado y plan de seguimiento individual.</dc:description>
  <cp:lastModifiedBy>Juan David Cardozo Prada</cp:lastModifiedBy>
  <cp:lastPrinted>2015-10-19T18:36:58Z</cp:lastPrinted>
  <dcterms:created xsi:type="dcterms:W3CDTF">2015-10-19T17:42:33Z</dcterms:created>
  <dcterms:modified xsi:type="dcterms:W3CDTF">2026-09-25T15:31:07Z</dcterms:modified>
</cp:coreProperties>
</file>